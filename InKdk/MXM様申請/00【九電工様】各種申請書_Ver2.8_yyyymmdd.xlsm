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06429\PycharmProjects\python_programming\MXM様申請\"/>
    </mc:Choice>
  </mc:AlternateContent>
  <xr:revisionPtr revIDLastSave="0" documentId="13_ncr:1_{49FA8427-55CC-4592-8E84-B88121AEA81D}" xr6:coauthVersionLast="47" xr6:coauthVersionMax="47" xr10:uidLastSave="{00000000-0000-0000-0000-000000000000}"/>
  <bookViews>
    <workbookView xWindow="2688" yWindow="2688" windowWidth="17280" windowHeight="9072" tabRatio="768" xr2:uid="{7B7AC6EF-6120-40B5-8F05-E30E57354347}"/>
  </bookViews>
  <sheets>
    <sheet name="申請者情報" sheetId="1" r:id="rId1"/>
    <sheet name="新規申請" sheetId="2" r:id="rId2"/>
    <sheet name="利用者変更" sheetId="5" r:id="rId3"/>
    <sheet name="再キッティング" sheetId="4" r:id="rId4"/>
    <sheet name="故障交換機手配" sheetId="7" r:id="rId5"/>
    <sheet name="紛失時再手配" sheetId="8" r:id="rId6"/>
    <sheet name="返却" sheetId="9" r:id="rId7"/>
    <sheet name="解約" sheetId="15" r:id="rId8"/>
    <sheet name="通信量変更" sheetId="14" r:id="rId9"/>
    <sheet name="改番" sheetId="10" r:id="rId10"/>
    <sheet name="機種変更" sheetId="11" r:id="rId11"/>
    <sheet name="MNP" sheetId="12" r:id="rId12"/>
    <sheet name="MNP予約番号" sheetId="13" r:id="rId13"/>
  </sheets>
  <definedNames>
    <definedName name="申請種別の範囲">申請者情報!$C$33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C23" i="1"/>
  <c r="C22" i="1"/>
  <c r="C21" i="1"/>
  <c r="C20" i="1"/>
  <c r="C19" i="1"/>
  <c r="C18" i="1"/>
  <c r="C17" i="1"/>
  <c r="C16" i="1"/>
  <c r="C15" i="1"/>
  <c r="C14" i="1"/>
  <c r="C13" i="1"/>
  <c r="C12" i="1"/>
  <c r="A15" i="15" l="1"/>
  <c r="A14" i="15"/>
  <c r="A13" i="15"/>
  <c r="A12" i="15"/>
  <c r="A11" i="15"/>
  <c r="A10" i="15"/>
  <c r="A9" i="15"/>
  <c r="A8" i="15"/>
  <c r="A7" i="15"/>
  <c r="A6" i="15"/>
  <c r="A7" i="13" l="1"/>
  <c r="A8" i="13"/>
  <c r="A9" i="13"/>
  <c r="A10" i="13"/>
  <c r="A11" i="13"/>
  <c r="A12" i="13"/>
  <c r="A13" i="13"/>
  <c r="A14" i="13"/>
  <c r="A15" i="13"/>
  <c r="A6" i="13"/>
  <c r="A7" i="12"/>
  <c r="A8" i="12"/>
  <c r="A9" i="12"/>
  <c r="A10" i="12"/>
  <c r="A11" i="12"/>
  <c r="A12" i="12"/>
  <c r="A13" i="12"/>
  <c r="A14" i="12"/>
  <c r="A15" i="12"/>
  <c r="A6" i="12"/>
  <c r="A7" i="11"/>
  <c r="A8" i="11"/>
  <c r="A9" i="11"/>
  <c r="A10" i="11"/>
  <c r="A11" i="11"/>
  <c r="A12" i="11"/>
  <c r="A13" i="11"/>
  <c r="A14" i="11"/>
  <c r="A15" i="11"/>
  <c r="A6" i="11"/>
  <c r="A7" i="10"/>
  <c r="A8" i="10"/>
  <c r="A9" i="10"/>
  <c r="A10" i="10"/>
  <c r="A11" i="10"/>
  <c r="A12" i="10"/>
  <c r="A13" i="10"/>
  <c r="A14" i="10"/>
  <c r="A15" i="10"/>
  <c r="A6" i="10"/>
  <c r="A7" i="14"/>
  <c r="A8" i="14"/>
  <c r="A9" i="14"/>
  <c r="A10" i="14"/>
  <c r="A11" i="14"/>
  <c r="A12" i="14"/>
  <c r="A13" i="14"/>
  <c r="A14" i="14"/>
  <c r="A15" i="14"/>
  <c r="A6" i="14"/>
  <c r="A7" i="9"/>
  <c r="A8" i="9"/>
  <c r="A9" i="9"/>
  <c r="A10" i="9"/>
  <c r="A11" i="9"/>
  <c r="A12" i="9"/>
  <c r="A13" i="9"/>
  <c r="A14" i="9"/>
  <c r="A15" i="9"/>
  <c r="A6" i="9"/>
  <c r="A7" i="8"/>
  <c r="A8" i="8"/>
  <c r="A9" i="8"/>
  <c r="A10" i="8"/>
  <c r="A11" i="8"/>
  <c r="A12" i="8"/>
  <c r="A13" i="8"/>
  <c r="A14" i="8"/>
  <c r="A15" i="8"/>
  <c r="A6" i="8"/>
  <c r="A7" i="7"/>
  <c r="A8" i="7"/>
  <c r="A9" i="7"/>
  <c r="A10" i="7"/>
  <c r="A11" i="7"/>
  <c r="A12" i="7"/>
  <c r="A13" i="7"/>
  <c r="A14" i="7"/>
  <c r="A15" i="7"/>
  <c r="A6" i="7"/>
  <c r="A7" i="4"/>
  <c r="A8" i="4"/>
  <c r="A9" i="4"/>
  <c r="A10" i="4"/>
  <c r="A11" i="4"/>
  <c r="A12" i="4"/>
  <c r="A13" i="4"/>
  <c r="A14" i="4"/>
  <c r="A15" i="4"/>
  <c r="A6" i="4"/>
  <c r="A7" i="5"/>
  <c r="A8" i="5"/>
  <c r="A9" i="5"/>
  <c r="A10" i="5"/>
  <c r="A11" i="5"/>
  <c r="A12" i="5"/>
  <c r="A13" i="5"/>
  <c r="A14" i="5"/>
  <c r="A15" i="5"/>
  <c r="A6" i="5"/>
  <c r="A7" i="2"/>
  <c r="A8" i="2"/>
  <c r="A9" i="2"/>
  <c r="A10" i="2"/>
  <c r="A11" i="2"/>
  <c r="A12" i="2"/>
  <c r="A13" i="2"/>
  <c r="A14" i="2"/>
  <c r="A15" i="2"/>
  <c r="A6" i="2"/>
</calcChain>
</file>

<file path=xl/sharedStrings.xml><?xml version="1.0" encoding="utf-8"?>
<sst xmlns="http://schemas.openxmlformats.org/spreadsheetml/2006/main" count="766" uniqueCount="291">
  <si>
    <t>【各種申請書】</t>
    <rPh sb="1" eb="3">
      <t>カクシュ</t>
    </rPh>
    <rPh sb="3" eb="6">
      <t>シンセイショ</t>
    </rPh>
    <phoneticPr fontId="6"/>
  </si>
  <si>
    <t>送付先：スマホ貸与コンタクトセンター＜kdk-support@mxmobiling.com＞</t>
    <rPh sb="0" eb="2">
      <t>ソウフ</t>
    </rPh>
    <rPh sb="2" eb="3">
      <t>サキ</t>
    </rPh>
    <phoneticPr fontId="6"/>
  </si>
  <si>
    <t>申請日</t>
    <phoneticPr fontId="6"/>
  </si>
  <si>
    <t>氏名</t>
    <phoneticPr fontId="6"/>
  </si>
  <si>
    <t>申請者情報</t>
    <phoneticPr fontId="6"/>
  </si>
  <si>
    <t>会社名</t>
    <phoneticPr fontId="6"/>
  </si>
  <si>
    <t>電話番号</t>
    <rPh sb="0" eb="2">
      <t>デンワ</t>
    </rPh>
    <rPh sb="2" eb="4">
      <t>バンゴウ</t>
    </rPh>
    <phoneticPr fontId="6"/>
  </si>
  <si>
    <t>部署名</t>
    <phoneticPr fontId="6"/>
  </si>
  <si>
    <t>希望の申請を選択してください。</t>
  </si>
  <si>
    <t>新規申請の理由を選択してください。</t>
  </si>
  <si>
    <t>新端末の希望制限区分を選択してください。</t>
  </si>
  <si>
    <t>希望端末（制限無しスマホ）を選択してください。</t>
  </si>
  <si>
    <t>希望端末を（制限ありスマホ・共有スマホ・ガラケー仕様スマホ）を選択してください。</t>
  </si>
  <si>
    <t>新規利用者の氏名を記入してください。</t>
  </si>
  <si>
    <t>新規利用者の社員番号を記入してください。</t>
  </si>
  <si>
    <t>新規利用者の部署名を記入してください。</t>
  </si>
  <si>
    <t>注意書き・誓約</t>
  </si>
  <si>
    <t>配送先郵便番号を記入してください。</t>
  </si>
  <si>
    <t>配送先の住所を記入してください。</t>
  </si>
  <si>
    <t>ビル名・階数を記入してください。</t>
  </si>
  <si>
    <t>受取者の氏名を記入してください。</t>
  </si>
  <si>
    <t>受取者の連絡先（電話番号）を記入してください。</t>
  </si>
  <si>
    <t>特にない場合は空欄で送信してください。</t>
  </si>
  <si>
    <t>申請種別</t>
    <rPh sb="0" eb="2">
      <t>シンセイ</t>
    </rPh>
    <rPh sb="2" eb="4">
      <t>シュベツ</t>
    </rPh>
    <phoneticPr fontId="3"/>
  </si>
  <si>
    <t>（判定用）</t>
    <rPh sb="1" eb="4">
      <t>ハンテイヨウ</t>
    </rPh>
    <phoneticPr fontId="2"/>
  </si>
  <si>
    <t>キャリア・機種１</t>
    <rPh sb="5" eb="7">
      <t>キシュ</t>
    </rPh>
    <phoneticPr fontId="2"/>
  </si>
  <si>
    <t>キャリア・機種２</t>
    <rPh sb="5" eb="7">
      <t>キシュ</t>
    </rPh>
    <phoneticPr fontId="2"/>
  </si>
  <si>
    <t>新規利用者情報氏名</t>
  </si>
  <si>
    <t>新規利用者社員番号</t>
  </si>
  <si>
    <t>新規利用者部署名</t>
  </si>
  <si>
    <t>郵便番号</t>
    <rPh sb="0" eb="4">
      <t>ユウビンバンゴウ</t>
    </rPh>
    <phoneticPr fontId="1"/>
  </si>
  <si>
    <t>住所</t>
    <rPh sb="0" eb="2">
      <t>ジュウショ</t>
    </rPh>
    <phoneticPr fontId="1"/>
  </si>
  <si>
    <t>ビル名</t>
    <rPh sb="2" eb="3">
      <t>メイ</t>
    </rPh>
    <phoneticPr fontId="1"/>
  </si>
  <si>
    <t>受取者部署名</t>
    <rPh sb="0" eb="2">
      <t>ウケトリ</t>
    </rPh>
    <rPh sb="2" eb="3">
      <t>シャ</t>
    </rPh>
    <rPh sb="3" eb="5">
      <t>ブショ</t>
    </rPh>
    <rPh sb="5" eb="6">
      <t>メイ</t>
    </rPh>
    <phoneticPr fontId="1"/>
  </si>
  <si>
    <t>受取者氏名</t>
    <rPh sb="0" eb="2">
      <t>ウケトリ</t>
    </rPh>
    <rPh sb="2" eb="3">
      <t>シャ</t>
    </rPh>
    <rPh sb="3" eb="5">
      <t>シメイ</t>
    </rPh>
    <phoneticPr fontId="1"/>
  </si>
  <si>
    <t>受取者連絡先（電話番号）</t>
    <rPh sb="0" eb="2">
      <t>ウケトリ</t>
    </rPh>
    <rPh sb="2" eb="3">
      <t>シャ</t>
    </rPh>
    <rPh sb="3" eb="6">
      <t>レンラクサキ</t>
    </rPh>
    <rPh sb="7" eb="9">
      <t>デンワ</t>
    </rPh>
    <rPh sb="9" eb="11">
      <t>バンゴウ</t>
    </rPh>
    <phoneticPr fontId="1"/>
  </si>
  <si>
    <t>受取者（メール）</t>
    <rPh sb="0" eb="2">
      <t>ウケトリ</t>
    </rPh>
    <rPh sb="2" eb="3">
      <t>シャ</t>
    </rPh>
    <phoneticPr fontId="1"/>
  </si>
  <si>
    <t>備考</t>
    <rPh sb="0" eb="2">
      <t>ビコウ</t>
    </rPh>
    <phoneticPr fontId="1"/>
  </si>
  <si>
    <t>【新規申請】</t>
    <phoneticPr fontId="6"/>
  </si>
  <si>
    <t>№</t>
    <phoneticPr fontId="6"/>
  </si>
  <si>
    <t>申請種別</t>
    <rPh sb="0" eb="2">
      <t>シンセイ</t>
    </rPh>
    <rPh sb="2" eb="4">
      <t>シュベツ</t>
    </rPh>
    <phoneticPr fontId="4"/>
  </si>
  <si>
    <t>端末利利用者社員番号</t>
    <rPh sb="0" eb="2">
      <t>タンマツ</t>
    </rPh>
    <rPh sb="2" eb="3">
      <t>リ</t>
    </rPh>
    <rPh sb="3" eb="6">
      <t>リヨウシャ</t>
    </rPh>
    <rPh sb="6" eb="8">
      <t>シャイン</t>
    </rPh>
    <rPh sb="8" eb="10">
      <t>バンゴウ</t>
    </rPh>
    <phoneticPr fontId="2"/>
  </si>
  <si>
    <t>端末利用者氏名</t>
    <rPh sb="0" eb="5">
      <t>タンマツリヨウシャ</t>
    </rPh>
    <rPh sb="5" eb="7">
      <t>シメイ</t>
    </rPh>
    <phoneticPr fontId="2"/>
  </si>
  <si>
    <t>端末利用者部署</t>
    <rPh sb="0" eb="5">
      <t>タンマツリヨウシャ</t>
    </rPh>
    <rPh sb="5" eb="7">
      <t>ブショ</t>
    </rPh>
    <phoneticPr fontId="2"/>
  </si>
  <si>
    <t>端末回線番号</t>
    <rPh sb="0" eb="2">
      <t>タンマツ</t>
    </rPh>
    <rPh sb="2" eb="6">
      <t>カイセンバンゴウ</t>
    </rPh>
    <phoneticPr fontId="2"/>
  </si>
  <si>
    <t>管理番号</t>
    <rPh sb="0" eb="4">
      <t>カンリバンゴウ</t>
    </rPh>
    <phoneticPr fontId="2"/>
  </si>
  <si>
    <t>キャリア・機種</t>
    <rPh sb="5" eb="7">
      <t>キシュ</t>
    </rPh>
    <phoneticPr fontId="2"/>
  </si>
  <si>
    <t>再キッティング理由1</t>
    <rPh sb="0" eb="1">
      <t>サイ</t>
    </rPh>
    <rPh sb="7" eb="9">
      <t>リユウ</t>
    </rPh>
    <phoneticPr fontId="2"/>
  </si>
  <si>
    <t>再キッティング理由2</t>
    <rPh sb="0" eb="1">
      <t>サイ</t>
    </rPh>
    <rPh sb="7" eb="9">
      <t>リユウ</t>
    </rPh>
    <phoneticPr fontId="2"/>
  </si>
  <si>
    <t>制限区分変更</t>
    <rPh sb="0" eb="4">
      <t>セイゲンクブン</t>
    </rPh>
    <rPh sb="4" eb="6">
      <t>ヘンコウ</t>
    </rPh>
    <phoneticPr fontId="2"/>
  </si>
  <si>
    <t>端末ロックPW</t>
    <rPh sb="0" eb="2">
      <t>タンマツ</t>
    </rPh>
    <phoneticPr fontId="2"/>
  </si>
  <si>
    <t>備考</t>
    <rPh sb="0" eb="2">
      <t>ビコウ</t>
    </rPh>
    <phoneticPr fontId="2"/>
  </si>
  <si>
    <t>今回申請を行う端末で最低1回以上VPN接続は完了していますか？</t>
  </si>
  <si>
    <t>再キッティングを行う端末利用者の社員番号を記入してください。</t>
  </si>
  <si>
    <t>再キッティングを行う端末利用者の氏名を記入してください。</t>
  </si>
  <si>
    <t>再キッティングを行う端末利用者の部署名を記入してください。</t>
  </si>
  <si>
    <t>再キッティングを行う端末の回線番号を記入してください。</t>
  </si>
  <si>
    <t>再キッティングを行う端末の管理番号を記入してください。</t>
  </si>
  <si>
    <t>今回申請を行う該当の再キッティングを選択してください。</t>
  </si>
  <si>
    <t>今回申請を行う該当の再キッティングを選択してください。2</t>
  </si>
  <si>
    <t>今回変更を行う制限区分を選択してください</t>
  </si>
  <si>
    <t>ご利用端末の画面ロックパスコードを記入してください。</t>
  </si>
  <si>
    <t>・制限無し→制限あり
・制限あり→制限無し
※「再キッティング理由1」にて「制限区分変更」を選択した場合のみ入る</t>
  </si>
  <si>
    <t>※「再キッティング理由1」にて「制限区分変更」を選択した場合のみ入る</t>
    <rPh sb="16" eb="20">
      <t>セイゲンクブン</t>
    </rPh>
    <rPh sb="20" eb="22">
      <t>ヘンコウ</t>
    </rPh>
    <rPh sb="24" eb="26">
      <t>センタク</t>
    </rPh>
    <rPh sb="28" eb="30">
      <t>バアイ</t>
    </rPh>
    <rPh sb="32" eb="33">
      <t>ハイ</t>
    </rPh>
    <phoneticPr fontId="2"/>
  </si>
  <si>
    <t>【再キッティング】</t>
    <phoneticPr fontId="6"/>
  </si>
  <si>
    <t>代理人氏名</t>
    <rPh sb="2" eb="3">
      <t>ニン</t>
    </rPh>
    <rPh sb="3" eb="5">
      <t>シメイ</t>
    </rPh>
    <phoneticPr fontId="1"/>
  </si>
  <si>
    <t>代理人連絡先（電話番号）</t>
    <rPh sb="2" eb="3">
      <t>ニン</t>
    </rPh>
    <phoneticPr fontId="1"/>
  </si>
  <si>
    <t>代理人メールアドレス</t>
    <rPh sb="2" eb="3">
      <t>ニン</t>
    </rPh>
    <phoneticPr fontId="1"/>
  </si>
  <si>
    <t>回線番号</t>
  </si>
  <si>
    <t>管理番号</t>
  </si>
  <si>
    <t>キャリア・機種</t>
  </si>
  <si>
    <t>画面ロックパスコード</t>
  </si>
  <si>
    <t>代理の方の氏名を記入してください。</t>
  </si>
  <si>
    <t>代理の方の連絡先（電話番号）を記入してください。</t>
  </si>
  <si>
    <t>代理の方のメールアドレスを記入してください。</t>
  </si>
  <si>
    <t>ご利用端末の回線番号を記入してください</t>
  </si>
  <si>
    <t>ご利用端末の管理番号を記入してください。</t>
  </si>
  <si>
    <t>ご端末を選択してください。</t>
  </si>
  <si>
    <t>旧利用者の社員番号を記入してください。</t>
  </si>
  <si>
    <t>旧利用者の部署名を記入してください。</t>
  </si>
  <si>
    <t>新利用者の氏名を記入してください。</t>
  </si>
  <si>
    <t>新利用者の社員番号を記入してください。</t>
  </si>
  <si>
    <t>新利用者の部署を記入してください。</t>
  </si>
  <si>
    <t>【利用者変更】</t>
    <phoneticPr fontId="6"/>
  </si>
  <si>
    <t>【故障交換機手配】</t>
    <phoneticPr fontId="6"/>
  </si>
  <si>
    <t>故障についてコンタクトセンターにご連絡はお済でしょうか？</t>
  </si>
  <si>
    <t>SIM交換が必要ですか？</t>
  </si>
  <si>
    <t>ご利用端末を選択してください。</t>
  </si>
  <si>
    <t>故障症状を具体的に記入してください。</t>
  </si>
  <si>
    <t>発生頻度を記入してください。</t>
  </si>
  <si>
    <t>故障端末利用者の氏名を記入してください。</t>
  </si>
  <si>
    <t>故障端末利用者の社員番号を記入してください。</t>
  </si>
  <si>
    <t>故障端末利用者の部署名を記入してください。</t>
  </si>
  <si>
    <t>・必要
・不必要</t>
    <rPh sb="1" eb="3">
      <t>ヒツヨウ</t>
    </rPh>
    <rPh sb="5" eb="8">
      <t>フヒツヨウ</t>
    </rPh>
    <phoneticPr fontId="2"/>
  </si>
  <si>
    <t>【紛失時再手配】</t>
    <phoneticPr fontId="6"/>
  </si>
  <si>
    <t>現利用者回線番号</t>
    <rPh sb="0" eb="4">
      <t>ゲンリヨウシャ</t>
    </rPh>
    <rPh sb="4" eb="8">
      <t>カイセンバンゴウ</t>
    </rPh>
    <phoneticPr fontId="2"/>
  </si>
  <si>
    <t>紛失届出日</t>
    <rPh sb="0" eb="2">
      <t>フンシツ</t>
    </rPh>
    <rPh sb="2" eb="3">
      <t>トド</t>
    </rPh>
    <rPh sb="3" eb="5">
      <t>デビ</t>
    </rPh>
    <phoneticPr fontId="2"/>
  </si>
  <si>
    <t>届出警察署名</t>
    <rPh sb="0" eb="2">
      <t>トドケデ</t>
    </rPh>
    <rPh sb="2" eb="5">
      <t>ケイサツショ</t>
    </rPh>
    <rPh sb="5" eb="6">
      <t>メイ</t>
    </rPh>
    <phoneticPr fontId="2"/>
  </si>
  <si>
    <t>紛失届出番号</t>
  </si>
  <si>
    <t>端末紛失者氏名</t>
    <rPh sb="0" eb="4">
      <t>タンマツフンシツ</t>
    </rPh>
    <rPh sb="4" eb="5">
      <t>シャ</t>
    </rPh>
    <rPh sb="5" eb="7">
      <t>シメイ</t>
    </rPh>
    <phoneticPr fontId="2"/>
  </si>
  <si>
    <t>端末紛失者社員番号</t>
    <rPh sb="0" eb="5">
      <t>タンマツフンシツシャ</t>
    </rPh>
    <rPh sb="5" eb="9">
      <t>シャインバンゴウ</t>
    </rPh>
    <phoneticPr fontId="2"/>
  </si>
  <si>
    <t>端末紛失者部署名</t>
    <rPh sb="0" eb="5">
      <t>タンマツフンシツシャ</t>
    </rPh>
    <rPh sb="5" eb="8">
      <t>ブショメイ</t>
    </rPh>
    <phoneticPr fontId="2"/>
  </si>
  <si>
    <t>DX推進部より「ワイプ操作を行う」という連絡を受け、了承しましたか？</t>
  </si>
  <si>
    <t>紛失時の状況を具体的に記入してください。</t>
  </si>
  <si>
    <t>紛失届出日を記入してください。</t>
  </si>
  <si>
    <t>届出警察署・交番</t>
  </si>
  <si>
    <t>紛失した方の氏名を記入してください。</t>
  </si>
  <si>
    <t>紛失した方の社員番号を記入してください。</t>
  </si>
  <si>
    <t>紛失した方の部署名を記入してください。</t>
  </si>
  <si>
    <t>【返却】</t>
    <phoneticPr fontId="6"/>
  </si>
  <si>
    <t>現端末利用者氏名</t>
    <rPh sb="0" eb="3">
      <t>ゲンタンマツ</t>
    </rPh>
    <rPh sb="3" eb="6">
      <t>リヨウシャ</t>
    </rPh>
    <rPh sb="6" eb="8">
      <t>シメイ</t>
    </rPh>
    <phoneticPr fontId="2"/>
  </si>
  <si>
    <t>現端末利用者社員番号</t>
    <rPh sb="0" eb="3">
      <t>ゲンタンマツ</t>
    </rPh>
    <rPh sb="3" eb="6">
      <t>リヨウシャ</t>
    </rPh>
    <rPh sb="6" eb="10">
      <t>シャインバンゴウ</t>
    </rPh>
    <phoneticPr fontId="2"/>
  </si>
  <si>
    <t>現端末利用者部署</t>
    <rPh sb="0" eb="6">
      <t>ゲンタンマツリヨウシャ</t>
    </rPh>
    <rPh sb="6" eb="8">
      <t>ブショ</t>
    </rPh>
    <phoneticPr fontId="2"/>
  </si>
  <si>
    <t>返却を行う端末の利用者の方の氏名を記入してください。</t>
  </si>
  <si>
    <t>返却を行う端末の利用者の社員番号を記入してください。</t>
  </si>
  <si>
    <t>返却を行う端末の利用者の部署名を記入してください。</t>
  </si>
  <si>
    <t>注意事項</t>
  </si>
  <si>
    <t>【改番】</t>
    <rPh sb="1" eb="3">
      <t>カイバン</t>
    </rPh>
    <phoneticPr fontId="6"/>
  </si>
  <si>
    <t>現利用回線番号</t>
    <rPh sb="0" eb="3">
      <t>ゲンリヨウ</t>
    </rPh>
    <rPh sb="3" eb="7">
      <t>カイセンバンゴウ</t>
    </rPh>
    <phoneticPr fontId="2"/>
  </si>
  <si>
    <t>端末管理番号</t>
    <rPh sb="0" eb="2">
      <t>タンマツ</t>
    </rPh>
    <rPh sb="2" eb="6">
      <t>カンリバンゴウ</t>
    </rPh>
    <phoneticPr fontId="2"/>
  </si>
  <si>
    <t>改番を行う理由を具体的に記入してください。</t>
  </si>
  <si>
    <t>利用者の社員番号を記入してください。</t>
  </si>
  <si>
    <t>【機種変更】</t>
    <rPh sb="1" eb="3">
      <t>キシュ</t>
    </rPh>
    <rPh sb="3" eb="5">
      <t>ヘンコウ</t>
    </rPh>
    <phoneticPr fontId="6"/>
  </si>
  <si>
    <t>理由</t>
    <rPh sb="0" eb="2">
      <t>リユウ</t>
    </rPh>
    <phoneticPr fontId="2"/>
  </si>
  <si>
    <t>制限区分</t>
    <rPh sb="0" eb="4">
      <t>セイゲンクブン</t>
    </rPh>
    <phoneticPr fontId="2"/>
  </si>
  <si>
    <t>利用者情報氏名</t>
  </si>
  <si>
    <t>利用者社員番号</t>
  </si>
  <si>
    <t>利用者部署名</t>
  </si>
  <si>
    <t>違約金が発生しても実施しますか？</t>
  </si>
  <si>
    <t>機種変更申請の理由を記入してください。</t>
  </si>
  <si>
    <t>ご利用端末の回線番号を記入してください。</t>
  </si>
  <si>
    <t>ご利用の端末の管理番号を記入してください。</t>
  </si>
  <si>
    <t>ご端末の希望制限区分を選択してください。</t>
  </si>
  <si>
    <t>ご希望の機種変更を選択してください。</t>
  </si>
  <si>
    <t>ご希望の機種変更を選択してください。2</t>
  </si>
  <si>
    <t>利用者の氏名を記入してください。</t>
  </si>
  <si>
    <t>利用者の部署名を記入してください。</t>
  </si>
  <si>
    <t>MNP申請の理由を記入してください。</t>
  </si>
  <si>
    <t>制限なしスマホのご希望の機種変更を選択してください。</t>
  </si>
  <si>
    <t>制限ありスマホのご希望の機種変更を選択してください。</t>
  </si>
  <si>
    <t>【MNP予約番号】</t>
    <rPh sb="4" eb="6">
      <t>ヨヤク</t>
    </rPh>
    <rPh sb="6" eb="8">
      <t>バンゴウ</t>
    </rPh>
    <phoneticPr fontId="6"/>
  </si>
  <si>
    <t>説明1</t>
    <rPh sb="0" eb="2">
      <t>セツメイ</t>
    </rPh>
    <phoneticPr fontId="6"/>
  </si>
  <si>
    <t>説明2</t>
    <rPh sb="0" eb="2">
      <t>セツメイ</t>
    </rPh>
    <phoneticPr fontId="6"/>
  </si>
  <si>
    <t>№</t>
    <phoneticPr fontId="6"/>
  </si>
  <si>
    <t>利用者変更</t>
    <phoneticPr fontId="6"/>
  </si>
  <si>
    <t>新規申請</t>
    <phoneticPr fontId="6"/>
  </si>
  <si>
    <t>端末返却</t>
    <phoneticPr fontId="6"/>
  </si>
  <si>
    <t>SIM交換有無</t>
  </si>
  <si>
    <t>端末回線番号</t>
    <rPh sb="0" eb="2">
      <t>タンマツ</t>
    </rPh>
    <rPh sb="2" eb="4">
      <t>カイセン</t>
    </rPh>
    <rPh sb="4" eb="6">
      <t>バンゴウ</t>
    </rPh>
    <phoneticPr fontId="2"/>
  </si>
  <si>
    <t>端末利用者氏名</t>
    <rPh sb="0" eb="2">
      <t>タンマツ</t>
    </rPh>
    <rPh sb="2" eb="5">
      <t>リヨウシャ</t>
    </rPh>
    <rPh sb="5" eb="7">
      <t>シメイ</t>
    </rPh>
    <phoneticPr fontId="2"/>
  </si>
  <si>
    <t>端末利用者社員番号</t>
    <rPh sb="0" eb="2">
      <t>タンマツ</t>
    </rPh>
    <rPh sb="2" eb="5">
      <t>リヨウシャ</t>
    </rPh>
    <rPh sb="5" eb="9">
      <t>シャインバンゴウ</t>
    </rPh>
    <phoneticPr fontId="2"/>
  </si>
  <si>
    <t>改番申請</t>
    <phoneticPr fontId="6"/>
  </si>
  <si>
    <t>【MNP】</t>
    <phoneticPr fontId="6"/>
  </si>
  <si>
    <t>返却督促時の連絡先</t>
    <rPh sb="0" eb="4">
      <t>ヘンキャクトクソク</t>
    </rPh>
    <rPh sb="4" eb="5">
      <t>ジ</t>
    </rPh>
    <rPh sb="6" eb="9">
      <t>レンラクサキ</t>
    </rPh>
    <phoneticPr fontId="6"/>
  </si>
  <si>
    <t>MXM使用欄</t>
    <phoneticPr fontId="6"/>
  </si>
  <si>
    <t>ケース番号</t>
    <phoneticPr fontId="6"/>
  </si>
  <si>
    <t>-</t>
    <phoneticPr fontId="6"/>
  </si>
  <si>
    <t>紛失時再手配</t>
    <phoneticPr fontId="6"/>
  </si>
  <si>
    <t>・返却督促時の連絡先</t>
    <rPh sb="1" eb="5">
      <t>ヘンキャクトクソク</t>
    </rPh>
    <rPh sb="5" eb="6">
      <t>ジ</t>
    </rPh>
    <rPh sb="7" eb="10">
      <t>レンラクサキ</t>
    </rPh>
    <phoneticPr fontId="6"/>
  </si>
  <si>
    <t>・端末受領連絡（返却）の連絡先
・返却督促時の連絡先</t>
    <rPh sb="12" eb="15">
      <t>レンラクサキ</t>
    </rPh>
    <rPh sb="17" eb="21">
      <t>ヘンキャクトクソク</t>
    </rPh>
    <rPh sb="21" eb="22">
      <t>ジ</t>
    </rPh>
    <rPh sb="23" eb="26">
      <t>レンラクサキ</t>
    </rPh>
    <phoneticPr fontId="6"/>
  </si>
  <si>
    <t>機種変更</t>
    <phoneticPr fontId="6"/>
  </si>
  <si>
    <t>備考</t>
    <rPh sb="0" eb="2">
      <t>ビコウ</t>
    </rPh>
    <phoneticPr fontId="6"/>
  </si>
  <si>
    <t>【通信量変更】</t>
    <phoneticPr fontId="6"/>
  </si>
  <si>
    <t>現利用端末回線番号</t>
    <rPh sb="0" eb="3">
      <t>ゲンリヨウ</t>
    </rPh>
    <rPh sb="3" eb="5">
      <t>タンマツ</t>
    </rPh>
    <rPh sb="5" eb="9">
      <t>カイセンバンゴウ</t>
    </rPh>
    <phoneticPr fontId="2"/>
  </si>
  <si>
    <t>・通信量変更
・通信料上限解除</t>
  </si>
  <si>
    <t>MNP</t>
    <phoneticPr fontId="6"/>
  </si>
  <si>
    <t>MNP予約番号再発行</t>
    <phoneticPr fontId="6"/>
  </si>
  <si>
    <t>新規申請</t>
  </si>
  <si>
    <t>利用者変更</t>
  </si>
  <si>
    <t>再キッティング</t>
  </si>
  <si>
    <t>故障交換機手配</t>
  </si>
  <si>
    <t>紛失時再手配</t>
  </si>
  <si>
    <t>返却</t>
  </si>
  <si>
    <t>通信量変更</t>
  </si>
  <si>
    <t>改番</t>
  </si>
  <si>
    <t>機種変更</t>
  </si>
  <si>
    <t>MNP</t>
  </si>
  <si>
    <t>MNP予約番号</t>
  </si>
  <si>
    <t>故障症状</t>
    <phoneticPr fontId="6"/>
  </si>
  <si>
    <t>発生頻度</t>
    <phoneticPr fontId="6"/>
  </si>
  <si>
    <t>備考</t>
    <rPh sb="0" eb="2">
      <t>ビコウ</t>
    </rPh>
    <phoneticPr fontId="6"/>
  </si>
  <si>
    <t>違約金確認有無</t>
    <phoneticPr fontId="6"/>
  </si>
  <si>
    <t>今回の申請について上長の承認は得ていますか？</t>
  </si>
  <si>
    <t>返却可能な下記アクセサリーは下記を参考に返却の判断をお願いいたします。</t>
  </si>
  <si>
    <t>ご利用者の会社メールアドレス（もしくは連絡可能なメールアドレス）をご入力ください。</t>
  </si>
  <si>
    <t>現端末利用者メールアドレス</t>
    <rPh sb="0" eb="1">
      <t>ゲン</t>
    </rPh>
    <rPh sb="1" eb="3">
      <t>タンマツ</t>
    </rPh>
    <rPh sb="3" eb="6">
      <t>リヨウシャ</t>
    </rPh>
    <phoneticPr fontId="2"/>
  </si>
  <si>
    <t>利用者の会社メールアドレス（もしくは連絡可能なメールアドレス）を記入してください。</t>
  </si>
  <si>
    <t>改番希望日</t>
    <rPh sb="0" eb="5">
      <t>カイバンキボウビ</t>
    </rPh>
    <phoneticPr fontId="6"/>
  </si>
  <si>
    <t>開始時刻</t>
  </si>
  <si>
    <t>完了時刻</t>
  </si>
  <si>
    <t>メール</t>
  </si>
  <si>
    <t>名前</t>
  </si>
  <si>
    <t>【解約】</t>
    <rPh sb="1" eb="3">
      <t>カイヤク</t>
    </rPh>
    <phoneticPr fontId="6"/>
  </si>
  <si>
    <t>解約を行う端末の利用者の方の氏名を記入してください。</t>
  </si>
  <si>
    <t>解約を行う端末の利用者の社員番号を記入してください。</t>
  </si>
  <si>
    <t>解約を行う端末の利用者の部署名を記入してください。</t>
  </si>
  <si>
    <t>解約</t>
    <rPh sb="0" eb="2">
      <t>カイヤク</t>
    </rPh>
    <phoneticPr fontId="6"/>
  </si>
  <si>
    <t>G6:G1000</t>
    <phoneticPr fontId="6"/>
  </si>
  <si>
    <t>解約</t>
    <rPh sb="0" eb="2">
      <t>カイヤク</t>
    </rPh>
    <phoneticPr fontId="6"/>
  </si>
  <si>
    <t>※申請がある場合は必ずG列の申請種別に入力をお願いします。</t>
    <rPh sb="1" eb="3">
      <t>シンセイ</t>
    </rPh>
    <rPh sb="6" eb="8">
      <t>バアイ</t>
    </rPh>
    <rPh sb="9" eb="10">
      <t>カナラ</t>
    </rPh>
    <rPh sb="12" eb="13">
      <t>レツ</t>
    </rPh>
    <rPh sb="14" eb="16">
      <t>シンセイ</t>
    </rPh>
    <rPh sb="16" eb="18">
      <t>シュベツ</t>
    </rPh>
    <rPh sb="19" eb="21">
      <t>ニュウリョク</t>
    </rPh>
    <rPh sb="23" eb="24">
      <t>ネガ</t>
    </rPh>
    <phoneticPr fontId="6"/>
  </si>
  <si>
    <t>現利用者氏名</t>
    <rPh sb="0" eb="1">
      <t>ゲン</t>
    </rPh>
    <rPh sb="1" eb="4">
      <t>リヨウシャ</t>
    </rPh>
    <rPh sb="4" eb="6">
      <t>シメイ</t>
    </rPh>
    <phoneticPr fontId="2"/>
  </si>
  <si>
    <t>現利用者社員番号</t>
    <rPh sb="0" eb="1">
      <t>ゲン</t>
    </rPh>
    <rPh sb="1" eb="4">
      <t>リヨウシャ</t>
    </rPh>
    <phoneticPr fontId="2"/>
  </si>
  <si>
    <t>現利用者部署名</t>
    <rPh sb="0" eb="1">
      <t>ゲン</t>
    </rPh>
    <rPh sb="1" eb="3">
      <t>リヨウ</t>
    </rPh>
    <phoneticPr fontId="2"/>
  </si>
  <si>
    <t>管理用：</t>
    <rPh sb="0" eb="3">
      <t>カンリヨウ</t>
    </rPh>
    <phoneticPr fontId="6"/>
  </si>
  <si>
    <t>・端末受領連絡（解約）の連絡先
・返却督促時の連絡先</t>
    <rPh sb="12" eb="15">
      <t>レンラクサキ</t>
    </rPh>
    <rPh sb="17" eb="19">
      <t>ヘンキャク</t>
    </rPh>
    <rPh sb="21" eb="22">
      <t>ジ</t>
    </rPh>
    <rPh sb="23" eb="26">
      <t>レンラクサキ</t>
    </rPh>
    <phoneticPr fontId="6"/>
  </si>
  <si>
    <t>「キャリア・機種」にてAndroidを選択した場合
・パスコードを10回間違い等で初期化された方
・PWリセット不可（AndroidOS11以上）
・その他
※「再キッティング理由1」か「再キッティング理由2」のどちらかにのみ入る</t>
    <rPh sb="56" eb="58">
      <t>フカ</t>
    </rPh>
    <rPh sb="70" eb="72">
      <t>イジョウ</t>
    </rPh>
    <phoneticPr fontId="2"/>
  </si>
  <si>
    <t>キャリア・機種3</t>
    <rPh sb="5" eb="7">
      <t>キシュ</t>
    </rPh>
    <phoneticPr fontId="2"/>
  </si>
  <si>
    <t>「制限無しiPad（配電部仕様）」「制限ありiPad（配電部仕様）」の場合
・iPhone（Softbank）
※「キャリア・機種１」か「キャリア・機種２」か「キャリア・機種３」いずれかにのみ入る</t>
    <rPh sb="3" eb="4">
      <t>ナ</t>
    </rPh>
    <rPh sb="35" eb="37">
      <t>バアイ</t>
    </rPh>
    <phoneticPr fontId="2"/>
  </si>
  <si>
    <t>キャリア・機種３</t>
    <rPh sb="5" eb="7">
      <t>キシュ</t>
    </rPh>
    <phoneticPr fontId="2"/>
  </si>
  <si>
    <t>「制限無しiPad（配電部仕様）」「制限ありiPad（配電部仕様）」の場合
・iPad（Softbank）→iPad（Softbank）
・iPad（KDDI）→iPad（KDDI）
※「キャリア・機種１」か「キャリア・機種２」か「キャリア・機種3」いずれかにのみ入る</t>
    <rPh sb="35" eb="37">
      <t>バアイ</t>
    </rPh>
    <phoneticPr fontId="6"/>
  </si>
  <si>
    <t>希望端末（iPad）を選択ください。</t>
  </si>
  <si>
    <t>連絡通知者の部署を記入してください。</t>
  </si>
  <si>
    <t>連絡通知者の氏名を記入してください。</t>
  </si>
  <si>
    <t>連絡通知者の連絡先（電話番号）を記入してください。</t>
  </si>
  <si>
    <t>連絡通知者部署名</t>
    <rPh sb="0" eb="2">
      <t>レンラク</t>
    </rPh>
    <rPh sb="2" eb="4">
      <t>ツウチ</t>
    </rPh>
    <rPh sb="4" eb="5">
      <t>シャ</t>
    </rPh>
    <rPh sb="5" eb="7">
      <t>ブショ</t>
    </rPh>
    <rPh sb="7" eb="8">
      <t>メイ</t>
    </rPh>
    <phoneticPr fontId="1"/>
  </si>
  <si>
    <t>連絡通知者氏名</t>
    <rPh sb="0" eb="2">
      <t>レンラク</t>
    </rPh>
    <rPh sb="2" eb="4">
      <t>ツウチ</t>
    </rPh>
    <rPh sb="4" eb="5">
      <t>シャ</t>
    </rPh>
    <rPh sb="5" eb="7">
      <t>シメイ</t>
    </rPh>
    <phoneticPr fontId="1"/>
  </si>
  <si>
    <t>連絡通知者連絡先（電話番号）</t>
    <rPh sb="0" eb="2">
      <t>レンラク</t>
    </rPh>
    <rPh sb="2" eb="4">
      <t>ツウチ</t>
    </rPh>
    <rPh sb="4" eb="5">
      <t>シャ</t>
    </rPh>
    <rPh sb="5" eb="8">
      <t>レンラクサキ</t>
    </rPh>
    <rPh sb="9" eb="11">
      <t>デンワ</t>
    </rPh>
    <rPh sb="11" eb="13">
      <t>バンゴウ</t>
    </rPh>
    <phoneticPr fontId="1"/>
  </si>
  <si>
    <t>連絡通知者（メール）</t>
    <rPh sb="0" eb="2">
      <t>レンラク</t>
    </rPh>
    <rPh sb="2" eb="4">
      <t>ツウチ</t>
    </rPh>
    <rPh sb="4" eb="5">
      <t>シャ</t>
    </rPh>
    <phoneticPr fontId="1"/>
  </si>
  <si>
    <t>ご希望の機種変更を選択してください。3</t>
  </si>
  <si>
    <t>受取者の部署を記入してください。</t>
  </si>
  <si>
    <t>受取者の連絡が取れる会社のメールアドレスを記入してください。</t>
  </si>
  <si>
    <t>【送信】ボタンを押すと申請の受付が完了します。</t>
  </si>
  <si>
    <t>申請を行う方の氏名を記入してください。</t>
  </si>
  <si>
    <t>再キッティングを行う端末を選択してください。</t>
  </si>
  <si>
    <t>ご利用者の氏名を記入してください。</t>
  </si>
  <si>
    <t>ご利用者の社員番号を記入してください。</t>
  </si>
  <si>
    <t>ご利用者の部署を記入してください。</t>
  </si>
  <si>
    <t>改番する希望日を入力して下さい。</t>
  </si>
  <si>
    <t>現利用者の氏名を記入してください。</t>
  </si>
  <si>
    <t>現利用者の社員番号を記入してください。</t>
  </si>
  <si>
    <t>現利用者の部署を記入してください。</t>
  </si>
  <si>
    <t>連絡通知者の連絡が取れる会社のメールアドレスを記入してください。</t>
  </si>
  <si>
    <t>【送信】ボタンを押すと申請の受付が完了します。</t>
    <phoneticPr fontId="6"/>
  </si>
  <si>
    <t>上長の承認</t>
  </si>
  <si>
    <t>上長の承認</t>
    <phoneticPr fontId="6"/>
  </si>
  <si>
    <t>【送信】</t>
  </si>
  <si>
    <t>【送信】</t>
    <phoneticPr fontId="6"/>
  </si>
  <si>
    <t>申請理由</t>
    <rPh sb="0" eb="2">
      <t>シンセイ</t>
    </rPh>
    <rPh sb="2" eb="4">
      <t>リユウ</t>
    </rPh>
    <phoneticPr fontId="6"/>
  </si>
  <si>
    <t>VPN</t>
    <phoneticPr fontId="6"/>
  </si>
  <si>
    <t>・完了している
・故障の為確認また接続ができない
・共有スマホもしくはガラケー仕様スマホである
・iPad（配電仕様）である
・完了していない（申請できません）</t>
  </si>
  <si>
    <t>・完了している
・故障の為確認また接続ができない
・共有スマホもしくはガラケー仕様スマホである
・iPad（配電仕様）である
・完了していない（申請できません）</t>
    <phoneticPr fontId="6"/>
  </si>
  <si>
    <t>故障の種類を選択してください。</t>
    <phoneticPr fontId="6"/>
  </si>
  <si>
    <t>故障の種類</t>
    <phoneticPr fontId="6"/>
  </si>
  <si>
    <t>コンタクトセンターへの連絡</t>
    <rPh sb="11" eb="13">
      <t>レンラク</t>
    </rPh>
    <phoneticPr fontId="6"/>
  </si>
  <si>
    <t>・外観的な故障
・内部的な故障</t>
    <phoneticPr fontId="6"/>
  </si>
  <si>
    <t>・相談済み</t>
    <phoneticPr fontId="6"/>
  </si>
  <si>
    <t>・故障交換機手配</t>
    <phoneticPr fontId="6"/>
  </si>
  <si>
    <t>・再キッティング</t>
    <rPh sb="1" eb="2">
      <t>サイ</t>
    </rPh>
    <phoneticPr fontId="6"/>
  </si>
  <si>
    <t>氏名（旧利用者）</t>
    <rPh sb="0" eb="2">
      <t>シメイ</t>
    </rPh>
    <rPh sb="3" eb="4">
      <t>キュウ</t>
    </rPh>
    <rPh sb="4" eb="7">
      <t>リヨウシャ</t>
    </rPh>
    <phoneticPr fontId="1"/>
  </si>
  <si>
    <t>社員番号（旧利用者）</t>
    <rPh sb="0" eb="4">
      <t>シャインバンゴウ</t>
    </rPh>
    <rPh sb="5" eb="9">
      <t>キュウリヨウシャ</t>
    </rPh>
    <phoneticPr fontId="1"/>
  </si>
  <si>
    <t>部署名（旧利用者）</t>
    <rPh sb="0" eb="2">
      <t>ブショ</t>
    </rPh>
    <rPh sb="2" eb="3">
      <t>メイ</t>
    </rPh>
    <rPh sb="4" eb="5">
      <t>キュウ</t>
    </rPh>
    <rPh sb="5" eb="8">
      <t>リヨウシャ</t>
    </rPh>
    <phoneticPr fontId="1"/>
  </si>
  <si>
    <t>氏名（新利用者）</t>
    <phoneticPr fontId="6"/>
  </si>
  <si>
    <t>社員番号（新利用者）</t>
    <phoneticPr fontId="6"/>
  </si>
  <si>
    <t>部署名（新利用者）</t>
    <rPh sb="0" eb="2">
      <t>ブショ</t>
    </rPh>
    <rPh sb="2" eb="3">
      <t>メイ</t>
    </rPh>
    <rPh sb="4" eb="5">
      <t>シン</t>
    </rPh>
    <rPh sb="5" eb="8">
      <t>リヨウシャ</t>
    </rPh>
    <phoneticPr fontId="1"/>
  </si>
  <si>
    <t>ワイプ確認</t>
    <rPh sb="3" eb="5">
      <t>カクニン</t>
    </rPh>
    <phoneticPr fontId="6"/>
  </si>
  <si>
    <t>紛失時の状況</t>
    <phoneticPr fontId="6"/>
  </si>
  <si>
    <t>アクセサリーの返却は下記を参考に判断をお願いいたします。</t>
    <phoneticPr fontId="6"/>
  </si>
  <si>
    <t>アクセサリーの返却時確認事項</t>
    <rPh sb="9" eb="10">
      <t>ジ</t>
    </rPh>
    <rPh sb="10" eb="14">
      <t>カクニンジコウ</t>
    </rPh>
    <phoneticPr fontId="6"/>
  </si>
  <si>
    <t>違約金</t>
    <phoneticPr fontId="6"/>
  </si>
  <si>
    <t>代理人氏名（解約）</t>
    <rPh sb="0" eb="3">
      <t>ダイリニン</t>
    </rPh>
    <rPh sb="3" eb="5">
      <t>シメイ</t>
    </rPh>
    <phoneticPr fontId="1"/>
  </si>
  <si>
    <t>代理人電話番号（解約）</t>
    <rPh sb="0" eb="3">
      <t>ダイリニンフンシツ2</t>
    </rPh>
    <rPh sb="3" eb="7">
      <t>デンワバンゴウ</t>
    </rPh>
    <phoneticPr fontId="1"/>
  </si>
  <si>
    <t>代理人メールアドレス（解約）</t>
    <rPh sb="0" eb="3">
      <t>ダイリニン</t>
    </rPh>
    <phoneticPr fontId="1"/>
  </si>
  <si>
    <t>解約理由を選択してください。</t>
  </si>
  <si>
    <t>解約理由</t>
    <phoneticPr fontId="6"/>
  </si>
  <si>
    <t>代理人氏名（返却）</t>
    <rPh sb="0" eb="3">
      <t>ダイリニン</t>
    </rPh>
    <rPh sb="3" eb="5">
      <t>シメイ</t>
    </rPh>
    <rPh sb="6" eb="8">
      <t>ヘンキャク</t>
    </rPh>
    <phoneticPr fontId="1"/>
  </si>
  <si>
    <t>代理人電話番号（返却）</t>
    <rPh sb="0" eb="3">
      <t>ダイリニンフンシツ2</t>
    </rPh>
    <rPh sb="3" eb="7">
      <t>デンワバンゴウ</t>
    </rPh>
    <rPh sb="7" eb="9">
      <t>ヘンキャク</t>
    </rPh>
    <phoneticPr fontId="1"/>
  </si>
  <si>
    <t>代理人メールアドレス（返却）</t>
    <rPh sb="0" eb="3">
      <t>ダイリニン</t>
    </rPh>
    <rPh sb="11" eb="13">
      <t>ヘンキャク</t>
    </rPh>
    <phoneticPr fontId="1"/>
  </si>
  <si>
    <t>返却理由を選択してください。</t>
  </si>
  <si>
    <t>返却理由</t>
    <phoneticPr fontId="6"/>
  </si>
  <si>
    <t>改番理由</t>
    <rPh sb="0" eb="4">
      <t>カイバンリユウ</t>
    </rPh>
    <phoneticPr fontId="6"/>
  </si>
  <si>
    <t>・完了している
・共有スマホもしくはガラケー仕様スマホである
・iPad（配電仕様）である
・完了していない（申請できません）</t>
    <phoneticPr fontId="6"/>
  </si>
  <si>
    <t>・制限無しスマホ
・制限ありスマホ
・共有スマホ（申請できません）
・ガラケー仕様スマホ（申請できません）</t>
    <phoneticPr fontId="6"/>
  </si>
  <si>
    <t>・完了している
・共有スマホもしくはガラケー仕様スマホである
・完了していない（申請できません）</t>
    <phoneticPr fontId="6"/>
  </si>
  <si>
    <t>・iPhone（Softbank）
・iPhone（KDDI)
・TORQUE(KDDI)
・Galaxy（KDDI)</t>
    <phoneticPr fontId="6"/>
  </si>
  <si>
    <t>申請種別の範囲:</t>
    <rPh sb="0" eb="4">
      <t>シンセイシュベツ</t>
    </rPh>
    <rPh sb="5" eb="7">
      <t>ハンイ</t>
    </rPh>
    <phoneticPr fontId="6"/>
  </si>
  <si>
    <t>・制限無しスマホ
・制限ありスマホ
・共有スマホ
・ガラケー仕様スマホ
・制限無しiPad（配電部仕様）
・制限ありiPad（配電部仕様）
※「WSO 組織情報」判定用</t>
    <rPh sb="10" eb="12">
      <t>セイゲン</t>
    </rPh>
    <rPh sb="19" eb="21">
      <t>キョウユウ</t>
    </rPh>
    <rPh sb="37" eb="39">
      <t>セイゲン</t>
    </rPh>
    <rPh sb="39" eb="40">
      <t>ナ</t>
    </rPh>
    <rPh sb="46" eb="49">
      <t>ハイデンブ</t>
    </rPh>
    <rPh sb="49" eb="51">
      <t>シヨウ</t>
    </rPh>
    <phoneticPr fontId="2"/>
  </si>
  <si>
    <t>「制限無しスマホ」の場合
・iPhone（Softbank）
・iPhone（KDDI）
・TORQUE（KDDI）
・Garaxy（KDDI）
※「キャリア・機種１」か「キャリア・機種２」か「キャリア・機種３」いずれかにのみ入る</t>
    <rPh sb="1" eb="3">
      <t>セイゲン</t>
    </rPh>
    <rPh sb="10" eb="12">
      <t>バアイ</t>
    </rPh>
    <phoneticPr fontId="2"/>
  </si>
  <si>
    <t>「制限ありスマホ」「共有スマホ」「ガラケー仕様スマホ」の場合
・iPhone（Softbank）
※「キャリア・機種１」か「キャリア・機種２」か「キャリア・機種３」いずれかにのみ入る</t>
    <rPh sb="28" eb="30">
      <t>バアイ</t>
    </rPh>
    <phoneticPr fontId="2"/>
  </si>
  <si>
    <t>・iPhone（Softbank）
・iPhone（KDDI）
・TORQUE（KDDI）
・Garaxy（KDDI）
・iPad（Softbank）
・iPad（KDDI）</t>
    <phoneticPr fontId="6"/>
  </si>
  <si>
    <t>・iPhone（Softbank）
・iPhone（KDDI)
・TORQUE(KDDI)
・Galaxy（KDDI)
・iPad（Softbank）
・iPad（KDDI）</t>
    <phoneticPr fontId="6"/>
  </si>
  <si>
    <t>「キャリア・機種」にてiPhone（Softbank,KDDI）,iPad（Softbank,KDDI）を選択した場合
・制限区分変更
・パスコードを10回間違い等で初期化された方
・その他
※「再キッティング理由1」か「再キッティング理由2」のどちらかにのみ入る</t>
    <rPh sb="6" eb="8">
      <t>キシュ</t>
    </rPh>
    <rPh sb="53" eb="55">
      <t>センタク</t>
    </rPh>
    <rPh sb="57" eb="59">
      <t>バアイ</t>
    </rPh>
    <rPh sb="61" eb="65">
      <t>セイゲンクブン</t>
    </rPh>
    <rPh sb="65" eb="67">
      <t>ヘンコウ</t>
    </rPh>
    <rPh sb="94" eb="95">
      <t>タ</t>
    </rPh>
    <rPh sb="98" eb="99">
      <t>サイ</t>
    </rPh>
    <rPh sb="105" eb="107">
      <t>リユウ</t>
    </rPh>
    <rPh sb="130" eb="131">
      <t>ハイ</t>
    </rPh>
    <phoneticPr fontId="2"/>
  </si>
  <si>
    <t>・制限無しスマホ
・制限ありスマホ
・共有スマホ
・ガラケー仕様スマホ
・制限無しiPad（配電部仕様）
・制限ありiPad（配電部仕様）</t>
    <phoneticPr fontId="6"/>
  </si>
  <si>
    <t>「制限無しスマホ」の場合
・iPhone（SB）→iPhone（SB）
・iPhone（au）→iPhone（au）
・iPhone（au）→TORQUE（au）
・iPhone（au）→Garaxy（au）
・TORQUE（au）→iPhone（au）
・TORQUE（au）→iPhone（au）
・TORQUE（au）→Garaxy（au）
・Garaxy（au）→iPhone（au）
・Garaxy（au）→TORQUE（au）
・Garaxy（au）→Garaxy（au）
※「キャリア・機種１」か「キャリア・機種２」か「キャリア・機種3」いずれかにのみ入る</t>
    <phoneticPr fontId="6"/>
  </si>
  <si>
    <t>「制限ありスマホ」「共有スマホ」「ガラケー仕様スマホ」の場合
・iPhone（SB）→iPhone（SB）
・iPhone（au）→iPhone（au）
※「キャリア・機種１」か「キャリア・機種２」か「キャリア・機種3」いずれかにのみ入る</t>
    <phoneticPr fontId="6"/>
  </si>
  <si>
    <t>「制限無しスマホ」の場合
iPhone（SB）→iPhone（au）
iPhone（SB）→TORQUE（au）
iPhone（SB）→Garaxy（au）
iPhone（au）→iPhone（SB）
TORQUE（au）→iPhone（SB）
Garaxy（au）→iPhone（SB）
※「キャリア・機種１」か「キャリア・機種２」かいずれかにのみ入る</t>
    <phoneticPr fontId="6"/>
  </si>
  <si>
    <t>「制限ありスマホ」「共有スマホ」「ガラケー仕様スマホ」の場合
・iPhone（SB）→iPhone（KDDI）
・iPhone（KDDI）→iPhone（SB）
※「キャリア・機種１」か「キャリア・機種２」かいずれかにのみ入る</t>
    <phoneticPr fontId="6"/>
  </si>
  <si>
    <t xml:space="preserve">・返却督促時の連絡先
</t>
    <rPh sb="1" eb="3">
      <t>ヘンキャク</t>
    </rPh>
    <rPh sb="5" eb="6">
      <t>ジ</t>
    </rPh>
    <rPh sb="7" eb="10">
      <t>レンラクサキ</t>
    </rPh>
    <phoneticPr fontId="6"/>
  </si>
  <si>
    <t>松本健汰</t>
    <rPh sb="0" eb="2">
      <t>マツモト</t>
    </rPh>
    <rPh sb="2" eb="3">
      <t>ケン</t>
    </rPh>
    <rPh sb="3" eb="4">
      <t>タ</t>
    </rPh>
    <phoneticPr fontId="6"/>
  </si>
  <si>
    <t>070-1532-2898</t>
    <phoneticPr fontId="6"/>
  </si>
  <si>
    <t>九電工株式会社</t>
    <rPh sb="0" eb="7">
      <t>キュウデンコウカブシキカイシャ</t>
    </rPh>
    <phoneticPr fontId="6"/>
  </si>
  <si>
    <t>デジタル新技術開発課</t>
    <rPh sb="4" eb="5">
      <t>シン</t>
    </rPh>
    <rPh sb="5" eb="7">
      <t>ギジュツ</t>
    </rPh>
    <rPh sb="7" eb="9">
      <t>カイハツ</t>
    </rPh>
    <rPh sb="9" eb="10">
      <t>カ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</si>
</sst>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 件&quot;"/>
    <numFmt numFmtId="177" formatCode="[$-F800]dddd\,\ mmmm\ dd\,\ yyyy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2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3"/>
      <charset val="128"/>
    </font>
    <font>
      <sz val="11"/>
      <color theme="0" tint="-0.34998626667073579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theme="9"/>
      <name val="Meiryo UI"/>
      <family val="3"/>
      <charset val="128"/>
    </font>
    <font>
      <sz val="9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0FFD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rgb="FFFF6D9E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7C1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DAFE"/>
        <bgColor indexed="64"/>
      </patternFill>
    </fill>
    <fill>
      <patternFill patternType="solid">
        <fgColor rgb="FFFFE1F0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2" borderId="1" xfId="0" applyNumberFormat="1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9" fillId="3" borderId="4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49" fontId="8" fillId="2" borderId="6" xfId="0" applyNumberFormat="1" applyFont="1" applyFill="1" applyBorder="1" applyAlignment="1">
      <alignment horizontal="center" vertical="center" wrapText="1"/>
    </xf>
    <xf numFmtId="49" fontId="9" fillId="3" borderId="7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9" fillId="3" borderId="9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49" fontId="4" fillId="2" borderId="11" xfId="0" applyNumberFormat="1" applyFont="1" applyFill="1" applyBorder="1" applyAlignment="1">
      <alignment horizontal="center" vertical="center" wrapText="1"/>
    </xf>
    <xf numFmtId="49" fontId="9" fillId="3" borderId="12" xfId="0" applyNumberFormat="1" applyFont="1" applyFill="1" applyBorder="1" applyAlignment="1">
      <alignment horizontal="center" vertical="center" wrapText="1"/>
    </xf>
    <xf numFmtId="49" fontId="4" fillId="0" borderId="13" xfId="0" applyNumberFormat="1" applyFont="1" applyBorder="1" applyAlignment="1">
      <alignment horizontal="center" vertical="center" wrapText="1"/>
    </xf>
    <xf numFmtId="49" fontId="4" fillId="0" borderId="14" xfId="0" applyNumberFormat="1" applyFont="1" applyBorder="1" applyAlignment="1">
      <alignment horizontal="center" vertical="center" wrapText="1"/>
    </xf>
    <xf numFmtId="49" fontId="4" fillId="0" borderId="15" xfId="0" applyNumberFormat="1" applyFont="1" applyBorder="1" applyAlignment="1">
      <alignment horizontal="center" vertical="center" wrapText="1"/>
    </xf>
    <xf numFmtId="49" fontId="4" fillId="0" borderId="0" xfId="0" applyNumberFormat="1" applyFont="1">
      <alignment vertical="center"/>
    </xf>
    <xf numFmtId="49" fontId="10" fillId="0" borderId="16" xfId="0" applyNumberFormat="1" applyFont="1" applyBorder="1" applyAlignment="1">
      <alignment vertical="center" wrapText="1"/>
    </xf>
    <xf numFmtId="49" fontId="10" fillId="0" borderId="0" xfId="0" applyNumberFormat="1" applyFont="1" applyAlignment="1">
      <alignment vertical="center" wrapText="1"/>
    </xf>
    <xf numFmtId="49" fontId="10" fillId="0" borderId="16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10" fillId="0" borderId="16" xfId="0" applyNumberFormat="1" applyFont="1" applyBorder="1" applyAlignment="1">
      <alignment vertical="center" wrapText="1"/>
    </xf>
    <xf numFmtId="49" fontId="10" fillId="0" borderId="16" xfId="0" applyNumberFormat="1" applyFont="1" applyBorder="1">
      <alignment vertical="center"/>
    </xf>
    <xf numFmtId="0" fontId="10" fillId="0" borderId="16" xfId="0" applyNumberFormat="1" applyFont="1" applyFill="1" applyBorder="1" applyAlignment="1">
      <alignment vertical="center" wrapText="1"/>
    </xf>
    <xf numFmtId="49" fontId="10" fillId="5" borderId="16" xfId="0" applyNumberFormat="1" applyFont="1" applyFill="1" applyBorder="1" applyAlignment="1">
      <alignment vertical="center" wrapText="1"/>
    </xf>
    <xf numFmtId="49" fontId="10" fillId="0" borderId="0" xfId="0" applyNumberFormat="1" applyFont="1" applyFill="1" applyAlignment="1">
      <alignment vertical="center" wrapText="1"/>
    </xf>
    <xf numFmtId="49" fontId="10" fillId="5" borderId="0" xfId="0" applyNumberFormat="1" applyFont="1" applyFill="1" applyAlignment="1">
      <alignment vertical="center" wrapText="1"/>
    </xf>
    <xf numFmtId="49" fontId="13" fillId="0" borderId="0" xfId="0" applyNumberFormat="1" applyFont="1" applyAlignment="1">
      <alignment horizontal="right" vertical="center"/>
    </xf>
    <xf numFmtId="49" fontId="13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176" fontId="4" fillId="0" borderId="17" xfId="0" applyNumberFormat="1" applyFont="1" applyBorder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 wrapText="1"/>
    </xf>
    <xf numFmtId="49" fontId="10" fillId="13" borderId="16" xfId="0" applyNumberFormat="1" applyFont="1" applyFill="1" applyBorder="1" applyAlignment="1">
      <alignment horizontal="center" vertical="center" wrapText="1"/>
    </xf>
    <xf numFmtId="49" fontId="10" fillId="13" borderId="16" xfId="0" applyNumberFormat="1" applyFont="1" applyFill="1" applyBorder="1" applyAlignment="1">
      <alignment vertical="center" wrapText="1"/>
    </xf>
    <xf numFmtId="49" fontId="11" fillId="13" borderId="16" xfId="0" applyNumberFormat="1" applyFont="1" applyFill="1" applyBorder="1" applyAlignment="1">
      <alignment vertical="center" wrapText="1"/>
    </xf>
    <xf numFmtId="49" fontId="4" fillId="0" borderId="0" xfId="0" applyNumberFormat="1" applyFont="1" applyFill="1" applyAlignment="1">
      <alignment horizontal="center" vertical="center"/>
    </xf>
    <xf numFmtId="49" fontId="4" fillId="4" borderId="16" xfId="0" applyNumberFormat="1" applyFont="1" applyFill="1" applyBorder="1" applyAlignment="1">
      <alignment horizontal="center" vertical="center"/>
    </xf>
    <xf numFmtId="49" fontId="12" fillId="13" borderId="16" xfId="0" applyNumberFormat="1" applyFont="1" applyFill="1" applyBorder="1" applyAlignment="1">
      <alignment vertical="center" wrapText="1"/>
    </xf>
    <xf numFmtId="49" fontId="4" fillId="14" borderId="16" xfId="0" applyNumberFormat="1" applyFont="1" applyFill="1" applyBorder="1" applyAlignment="1">
      <alignment horizontal="center" vertical="center" wrapText="1"/>
    </xf>
    <xf numFmtId="49" fontId="4" fillId="15" borderId="16" xfId="0" applyNumberFormat="1" applyFont="1" applyFill="1" applyBorder="1" applyAlignment="1">
      <alignment horizontal="center" vertical="center" wrapText="1"/>
    </xf>
    <xf numFmtId="49" fontId="4" fillId="16" borderId="16" xfId="0" applyNumberFormat="1" applyFont="1" applyFill="1" applyBorder="1" applyAlignment="1">
      <alignment horizontal="center" vertical="center" wrapText="1"/>
    </xf>
    <xf numFmtId="49" fontId="9" fillId="11" borderId="17" xfId="0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 wrapText="1"/>
    </xf>
    <xf numFmtId="49" fontId="17" fillId="0" borderId="0" xfId="0" applyNumberFormat="1" applyFont="1" applyAlignment="1">
      <alignment vertical="center"/>
    </xf>
    <xf numFmtId="49" fontId="18" fillId="0" borderId="0" xfId="0" applyNumberFormat="1" applyFont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49" fontId="15" fillId="10" borderId="16" xfId="0" applyNumberFormat="1" applyFont="1" applyFill="1" applyBorder="1" applyAlignment="1">
      <alignment horizontal="center" vertical="center" wrapText="1"/>
    </xf>
    <xf numFmtId="49" fontId="15" fillId="17" borderId="16" xfId="0" applyNumberFormat="1" applyFont="1" applyFill="1" applyBorder="1" applyAlignment="1">
      <alignment horizontal="center" vertical="center" wrapText="1"/>
    </xf>
    <xf numFmtId="49" fontId="4" fillId="17" borderId="16" xfId="0" applyNumberFormat="1" applyFont="1" applyFill="1" applyBorder="1" applyAlignment="1">
      <alignment horizontal="center" vertical="center" wrapText="1"/>
    </xf>
    <xf numFmtId="49" fontId="15" fillId="6" borderId="16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Alignment="1">
      <alignment horizontal="center" vertical="center" wrapText="1"/>
    </xf>
    <xf numFmtId="49" fontId="15" fillId="4" borderId="16" xfId="0" applyNumberFormat="1" applyFont="1" applyFill="1" applyBorder="1" applyAlignment="1">
      <alignment horizontal="center" vertical="center" wrapText="1"/>
    </xf>
    <xf numFmtId="49" fontId="15" fillId="7" borderId="16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Alignment="1">
      <alignment horizontal="center" vertical="center"/>
    </xf>
    <xf numFmtId="49" fontId="15" fillId="4" borderId="16" xfId="0" applyNumberFormat="1" applyFont="1" applyFill="1" applyBorder="1" applyAlignment="1">
      <alignment horizontal="center" vertical="center"/>
    </xf>
    <xf numFmtId="49" fontId="15" fillId="8" borderId="16" xfId="0" applyNumberFormat="1" applyFont="1" applyFill="1" applyBorder="1" applyAlignment="1">
      <alignment horizontal="center" vertical="center" wrapText="1"/>
    </xf>
    <xf numFmtId="49" fontId="15" fillId="12" borderId="16" xfId="0" applyNumberFormat="1" applyFont="1" applyFill="1" applyBorder="1" applyAlignment="1">
      <alignment horizontal="center" vertical="center" wrapText="1"/>
    </xf>
    <xf numFmtId="49" fontId="15" fillId="9" borderId="16" xfId="0" applyNumberFormat="1" applyFont="1" applyFill="1" applyBorder="1" applyAlignment="1">
      <alignment horizontal="center" vertical="center" wrapText="1"/>
    </xf>
    <xf numFmtId="49" fontId="15" fillId="15" borderId="16" xfId="0" applyNumberFormat="1" applyFont="1" applyFill="1" applyBorder="1" applyAlignment="1">
      <alignment horizontal="center" vertical="center" wrapText="1"/>
    </xf>
    <xf numFmtId="49" fontId="15" fillId="14" borderId="16" xfId="0" applyNumberFormat="1" applyFont="1" applyFill="1" applyBorder="1" applyAlignment="1">
      <alignment horizontal="center" vertical="center" wrapText="1"/>
    </xf>
    <xf numFmtId="49" fontId="15" fillId="16" borderId="16" xfId="0" applyNumberFormat="1" applyFont="1" applyFill="1" applyBorder="1" applyAlignment="1">
      <alignment horizontal="center" vertical="center" wrapText="1"/>
    </xf>
    <xf numFmtId="49" fontId="15" fillId="11" borderId="16" xfId="0" applyNumberFormat="1" applyFont="1" applyFill="1" applyBorder="1" applyAlignment="1">
      <alignment horizontal="center" vertical="center" wrapText="1"/>
    </xf>
    <xf numFmtId="0" fontId="10" fillId="5" borderId="16" xfId="0" applyNumberFormat="1" applyFont="1" applyFill="1" applyBorder="1" applyAlignment="1">
      <alignment vertical="center" wrapText="1"/>
    </xf>
    <xf numFmtId="49" fontId="15" fillId="3" borderId="16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49" fontId="13" fillId="0" borderId="0" xfId="0" applyNumberFormat="1" applyFont="1" applyBorder="1">
      <alignment vertical="center"/>
    </xf>
    <xf numFmtId="49" fontId="13" fillId="0" borderId="16" xfId="0" applyNumberFormat="1" applyFont="1" applyBorder="1">
      <alignment vertical="center"/>
    </xf>
    <xf numFmtId="49" fontId="10" fillId="18" borderId="16" xfId="0" applyNumberFormat="1" applyFont="1" applyFill="1" applyBorder="1" applyAlignment="1">
      <alignment vertical="center" wrapText="1"/>
    </xf>
    <xf numFmtId="49" fontId="19" fillId="13" borderId="16" xfId="0" applyNumberFormat="1" applyFont="1" applyFill="1" applyBorder="1" applyAlignment="1">
      <alignment vertical="center" wrapText="1"/>
    </xf>
    <xf numFmtId="177" fontId="4" fillId="0" borderId="3" xfId="0" applyNumberFormat="1" applyFont="1" applyBorder="1" applyAlignment="1">
      <alignment horizontal="center" vertical="center" wrapText="1"/>
    </xf>
  </cellXfs>
  <cellStyles count="1">
    <cellStyle name="標準" xfId="0" builtinId="0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E0FFD1"/>
      <color rgb="FF0000FF"/>
      <color rgb="FFFFFFCC"/>
      <color rgb="FFFFD243"/>
      <color rgb="FFFFCE33"/>
      <color rgb="FFFFE1F0"/>
      <color rgb="FFFFDDEE"/>
      <color rgb="FFE1DAFE"/>
      <color rgb="FFDBDEFD"/>
      <color rgb="FFFFE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7</xdr:row>
          <xdr:rowOff>76200</xdr:rowOff>
        </xdr:from>
        <xdr:to>
          <xdr:col>2</xdr:col>
          <xdr:colOff>1988820</xdr:colOff>
          <xdr:row>9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不要なシート・列を消去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DC36F-ABD4-49D9-8B71-0E1C81E25EA6}">
  <sheetPr codeName="Sheet1"/>
  <dimension ref="B2:F34"/>
  <sheetViews>
    <sheetView tabSelected="1" zoomScale="85" zoomScaleNormal="85" workbookViewId="0">
      <selection activeCell="D6" sqref="D6"/>
    </sheetView>
  </sheetViews>
  <sheetFormatPr defaultColWidth="9" defaultRowHeight="15" x14ac:dyDescent="0.45"/>
  <cols>
    <col min="1" max="1" width="2.19921875" style="17" customWidth="1"/>
    <col min="2" max="2" width="25.3984375" style="17" customWidth="1"/>
    <col min="3" max="6" width="26.8984375" style="17" customWidth="1"/>
    <col min="7" max="16384" width="9" style="17"/>
  </cols>
  <sheetData>
    <row r="2" spans="2:6" ht="22.8" x14ac:dyDescent="0.45">
      <c r="B2" s="2" t="s">
        <v>0</v>
      </c>
      <c r="C2" s="1" t="s">
        <v>1</v>
      </c>
      <c r="D2" s="1"/>
    </row>
    <row r="3" spans="2:6" ht="15.6" thickBot="1" x14ac:dyDescent="0.5"/>
    <row r="4" spans="2:6" ht="17.25" customHeight="1" x14ac:dyDescent="0.45">
      <c r="B4" s="3"/>
      <c r="C4" s="4" t="s">
        <v>2</v>
      </c>
      <c r="D4" s="71">
        <f ca="1">TODAY()</f>
        <v>44768</v>
      </c>
      <c r="E4" s="5" t="s">
        <v>3</v>
      </c>
      <c r="F4" s="6" t="s">
        <v>287</v>
      </c>
    </row>
    <row r="5" spans="2:6" ht="17.25" customHeight="1" x14ac:dyDescent="0.45">
      <c r="B5" s="7" t="s">
        <v>4</v>
      </c>
      <c r="C5" s="8" t="s">
        <v>5</v>
      </c>
      <c r="D5" s="9" t="s">
        <v>289</v>
      </c>
      <c r="E5" s="10" t="s">
        <v>6</v>
      </c>
      <c r="F5" s="11" t="s">
        <v>288</v>
      </c>
    </row>
    <row r="6" spans="2:6" ht="17.25" customHeight="1" thickBot="1" x14ac:dyDescent="0.5">
      <c r="B6" s="12"/>
      <c r="C6" s="13" t="s">
        <v>7</v>
      </c>
      <c r="D6" s="14" t="s">
        <v>290</v>
      </c>
      <c r="E6" s="15"/>
      <c r="F6" s="16"/>
    </row>
    <row r="11" spans="2:6" ht="16.2" x14ac:dyDescent="0.45">
      <c r="B11" s="66"/>
    </row>
    <row r="12" spans="2:6" x14ac:dyDescent="0.45">
      <c r="B12" s="42" t="s">
        <v>167</v>
      </c>
      <c r="C12" s="31">
        <f>IFERROR(COUNTIF(新規申請!$G$6:$G$1000, "&lt;&gt;"), "-")</f>
        <v>0</v>
      </c>
      <c r="D12" s="30"/>
    </row>
    <row r="13" spans="2:6" x14ac:dyDescent="0.45">
      <c r="B13" s="42" t="s">
        <v>168</v>
      </c>
      <c r="C13" s="31">
        <f>IFERROR(COUNTIF(利用者変更!$G$6:$G$1000, "&lt;&gt;"), "-")</f>
        <v>0</v>
      </c>
      <c r="D13" s="30"/>
    </row>
    <row r="14" spans="2:6" x14ac:dyDescent="0.45">
      <c r="B14" s="42" t="s">
        <v>169</v>
      </c>
      <c r="C14" s="31">
        <f>IFERROR(COUNTIF(再キッティング!$G$6:$G$1000, "&lt;&gt;"), "-")</f>
        <v>0</v>
      </c>
      <c r="D14" s="30"/>
    </row>
    <row r="15" spans="2:6" x14ac:dyDescent="0.45">
      <c r="B15" s="42" t="s">
        <v>170</v>
      </c>
      <c r="C15" s="31">
        <f>IFERROR(COUNTIF(故障交換機手配!$G$6:$G$1000, "&lt;&gt;"), "-")</f>
        <v>0</v>
      </c>
      <c r="D15" s="30"/>
    </row>
    <row r="16" spans="2:6" x14ac:dyDescent="0.45">
      <c r="B16" s="42" t="s">
        <v>171</v>
      </c>
      <c r="C16" s="31">
        <f>IFERROR(COUNTIF(紛失時再手配!$G$6:$G$1000, "&lt;&gt;"), "-")</f>
        <v>0</v>
      </c>
      <c r="D16" s="30"/>
    </row>
    <row r="17" spans="2:4" x14ac:dyDescent="0.45">
      <c r="B17" s="42" t="s">
        <v>198</v>
      </c>
      <c r="C17" s="31">
        <f>IFERROR(COUNTIF(解約!$G$6:$G$1000, "&lt;&gt;"), "-")</f>
        <v>0</v>
      </c>
      <c r="D17" s="30"/>
    </row>
    <row r="18" spans="2:4" x14ac:dyDescent="0.45">
      <c r="B18" s="42" t="s">
        <v>172</v>
      </c>
      <c r="C18" s="31">
        <f>IFERROR(COUNTIF(返却!$G$6:$G$1000, "&lt;&gt;"), "-")</f>
        <v>0</v>
      </c>
      <c r="D18" s="30"/>
    </row>
    <row r="19" spans="2:4" x14ac:dyDescent="0.45">
      <c r="B19" s="42" t="s">
        <v>173</v>
      </c>
      <c r="C19" s="31">
        <f>IFERROR(COUNTIF(通信量変更!$G$6:$G$1000, "&lt;&gt;"), "-")</f>
        <v>0</v>
      </c>
      <c r="D19" s="30"/>
    </row>
    <row r="20" spans="2:4" x14ac:dyDescent="0.45">
      <c r="B20" s="42" t="s">
        <v>174</v>
      </c>
      <c r="C20" s="31">
        <f>IFERROR(COUNTIF(改番!$G$6:$G$1000, "&lt;&gt;"), "-")</f>
        <v>0</v>
      </c>
      <c r="D20" s="30"/>
    </row>
    <row r="21" spans="2:4" x14ac:dyDescent="0.45">
      <c r="B21" s="42" t="s">
        <v>175</v>
      </c>
      <c r="C21" s="31">
        <f>IFERROR(COUNTIF(機種変更!$G$6:$G$1000, "&lt;&gt;"), "-")</f>
        <v>0</v>
      </c>
      <c r="D21" s="30"/>
    </row>
    <row r="22" spans="2:4" x14ac:dyDescent="0.45">
      <c r="B22" s="42" t="s">
        <v>176</v>
      </c>
      <c r="C22" s="31">
        <f>IFERROR(COUNTIF(MNP!$G$6:$G$1000, "&lt;&gt;"), "-")</f>
        <v>0</v>
      </c>
      <c r="D22" s="30"/>
    </row>
    <row r="23" spans="2:4" x14ac:dyDescent="0.45">
      <c r="B23" s="42" t="s">
        <v>177</v>
      </c>
      <c r="C23" s="31">
        <f>IFERROR(COUNTIF(MNP予約番号!$G$6:$G$1000, "&lt;&gt;"), "-")</f>
        <v>0</v>
      </c>
      <c r="D23" s="30"/>
    </row>
    <row r="32" spans="2:4" x14ac:dyDescent="0.45">
      <c r="B32" s="28" t="s">
        <v>203</v>
      </c>
      <c r="C32" s="29"/>
    </row>
    <row r="33" spans="2:3" x14ac:dyDescent="0.45">
      <c r="B33" s="28" t="s">
        <v>274</v>
      </c>
      <c r="C33" s="68" t="s">
        <v>197</v>
      </c>
    </row>
    <row r="34" spans="2:3" x14ac:dyDescent="0.45">
      <c r="B34" s="28"/>
      <c r="C34" s="67"/>
    </row>
  </sheetData>
  <phoneticPr fontId="6"/>
  <conditionalFormatting sqref="C12:C23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全てのシート上の不要な列とシートを削除">
                <anchor moveWithCells="1" sizeWithCells="1">
                  <from>
                    <xdr:col>2</xdr:col>
                    <xdr:colOff>60960</xdr:colOff>
                    <xdr:row>7</xdr:row>
                    <xdr:rowOff>76200</xdr:rowOff>
                  </from>
                  <to>
                    <xdr:col>2</xdr:col>
                    <xdr:colOff>1988820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CC30-3D4E-42BA-A24A-D665475E4F04}">
  <sheetPr codeName="Sheet2"/>
  <dimension ref="A1:AA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 activeCell="A8" sqref="A8"/>
    </sheetView>
  </sheetViews>
  <sheetFormatPr defaultColWidth="9" defaultRowHeight="14.4" x14ac:dyDescent="0.45"/>
  <cols>
    <col min="1" max="1" width="13.8984375" style="19" customWidth="1"/>
    <col min="2" max="7" width="22.3984375" style="19" customWidth="1"/>
    <col min="8" max="25" width="27.3984375" style="19" customWidth="1"/>
    <col min="26" max="26" width="2.59765625" style="19" customWidth="1"/>
    <col min="27" max="27" width="27.3984375" style="19" customWidth="1"/>
    <col min="28" max="16384" width="9" style="19"/>
  </cols>
  <sheetData>
    <row r="1" spans="1:27" ht="24.6" x14ac:dyDescent="0.45">
      <c r="A1" s="43" t="s">
        <v>38</v>
      </c>
      <c r="B1" s="43"/>
      <c r="C1" s="45" t="s">
        <v>199</v>
      </c>
      <c r="D1" s="43"/>
      <c r="E1" s="43"/>
      <c r="F1" s="43"/>
      <c r="G1" s="43"/>
      <c r="H1" s="45"/>
    </row>
    <row r="3" spans="1:27" s="52" customFormat="1" ht="30" customHeight="1" x14ac:dyDescent="0.45">
      <c r="A3" s="51" t="s">
        <v>39</v>
      </c>
      <c r="B3" s="51" t="s">
        <v>188</v>
      </c>
      <c r="C3" s="51" t="s">
        <v>189</v>
      </c>
      <c r="D3" s="51" t="s">
        <v>190</v>
      </c>
      <c r="E3" s="51" t="s">
        <v>191</v>
      </c>
      <c r="F3" s="51" t="s">
        <v>233</v>
      </c>
      <c r="G3" s="51" t="s">
        <v>23</v>
      </c>
      <c r="H3" s="51" t="s">
        <v>237</v>
      </c>
      <c r="I3" s="51" t="s">
        <v>24</v>
      </c>
      <c r="J3" s="51" t="s">
        <v>25</v>
      </c>
      <c r="K3" s="51" t="s">
        <v>26</v>
      </c>
      <c r="L3" s="51" t="s">
        <v>206</v>
      </c>
      <c r="M3" s="51" t="s">
        <v>27</v>
      </c>
      <c r="N3" s="51" t="s">
        <v>28</v>
      </c>
      <c r="O3" s="51" t="s">
        <v>29</v>
      </c>
      <c r="P3" s="51" t="s">
        <v>16</v>
      </c>
      <c r="Q3" s="51" t="s">
        <v>30</v>
      </c>
      <c r="R3" s="51" t="s">
        <v>31</v>
      </c>
      <c r="S3" s="51" t="s">
        <v>32</v>
      </c>
      <c r="T3" s="51" t="s">
        <v>33</v>
      </c>
      <c r="U3" s="51" t="s">
        <v>34</v>
      </c>
      <c r="V3" s="51" t="s">
        <v>35</v>
      </c>
      <c r="W3" s="51" t="s">
        <v>36</v>
      </c>
      <c r="X3" s="51" t="s">
        <v>235</v>
      </c>
      <c r="Y3" s="51" t="s">
        <v>37</v>
      </c>
      <c r="AA3" s="53" t="s">
        <v>154</v>
      </c>
    </row>
    <row r="4" spans="1:27" ht="43.2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9</v>
      </c>
      <c r="I4" s="38" t="s">
        <v>10</v>
      </c>
      <c r="J4" s="38" t="s">
        <v>11</v>
      </c>
      <c r="K4" s="38" t="s">
        <v>12</v>
      </c>
      <c r="L4" s="38" t="s">
        <v>210</v>
      </c>
      <c r="M4" s="34" t="s">
        <v>13</v>
      </c>
      <c r="N4" s="34" t="s">
        <v>14</v>
      </c>
      <c r="O4" s="34" t="s">
        <v>15</v>
      </c>
      <c r="P4" s="34" t="s">
        <v>16</v>
      </c>
      <c r="Q4" s="34" t="s">
        <v>17</v>
      </c>
      <c r="R4" s="34" t="s">
        <v>18</v>
      </c>
      <c r="S4" s="34" t="s">
        <v>19</v>
      </c>
      <c r="T4" s="34" t="s">
        <v>219</v>
      </c>
      <c r="U4" s="34" t="s">
        <v>20</v>
      </c>
      <c r="V4" s="34" t="s">
        <v>21</v>
      </c>
      <c r="W4" s="34" t="s">
        <v>220</v>
      </c>
      <c r="X4" s="34" t="s">
        <v>221</v>
      </c>
      <c r="Y4" s="34" t="s">
        <v>22</v>
      </c>
      <c r="AA4" s="33" t="s">
        <v>155</v>
      </c>
    </row>
    <row r="5" spans="1:27" ht="115.2" x14ac:dyDescent="0.45">
      <c r="A5" s="33" t="s">
        <v>142</v>
      </c>
      <c r="B5" s="33"/>
      <c r="C5" s="33"/>
      <c r="D5" s="33"/>
      <c r="E5" s="33"/>
      <c r="F5" s="33"/>
      <c r="G5" s="34" t="s">
        <v>145</v>
      </c>
      <c r="H5" s="34"/>
      <c r="I5" s="38" t="s">
        <v>275</v>
      </c>
      <c r="J5" s="38" t="s">
        <v>276</v>
      </c>
      <c r="K5" s="38" t="s">
        <v>277</v>
      </c>
      <c r="L5" s="38" t="s">
        <v>207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AA5" s="33" t="s">
        <v>156</v>
      </c>
    </row>
    <row r="6" spans="1:27" ht="30.75" customHeight="1" x14ac:dyDescent="0.45">
      <c r="A6" s="22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18"/>
      <c r="H6" s="25"/>
      <c r="I6" s="18"/>
      <c r="J6" s="18"/>
      <c r="K6" s="18"/>
      <c r="L6" s="18"/>
      <c r="M6" s="18"/>
      <c r="N6" s="18"/>
      <c r="O6" s="18"/>
      <c r="P6" s="25"/>
      <c r="Q6" s="18"/>
      <c r="R6" s="18"/>
      <c r="S6" s="18"/>
      <c r="T6" s="18"/>
      <c r="U6" s="18"/>
      <c r="V6" s="18"/>
      <c r="W6" s="18"/>
      <c r="X6" s="25"/>
      <c r="Y6" s="18"/>
      <c r="AA6" s="18"/>
    </row>
    <row r="7" spans="1:27" ht="30.75" customHeight="1" x14ac:dyDescent="0.45">
      <c r="A7" s="22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18"/>
      <c r="H7" s="25"/>
      <c r="I7" s="18"/>
      <c r="J7" s="18"/>
      <c r="K7" s="18"/>
      <c r="L7" s="18"/>
      <c r="M7" s="18"/>
      <c r="N7" s="18"/>
      <c r="O7" s="18"/>
      <c r="P7" s="25"/>
      <c r="Q7" s="18"/>
      <c r="R7" s="18"/>
      <c r="S7" s="18"/>
      <c r="T7" s="18"/>
      <c r="U7" s="18"/>
      <c r="V7" s="18"/>
      <c r="W7" s="18"/>
      <c r="X7" s="25"/>
      <c r="Y7" s="18"/>
      <c r="AA7" s="18"/>
    </row>
    <row r="8" spans="1:27" ht="30.75" customHeight="1" x14ac:dyDescent="0.45">
      <c r="A8" s="22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18"/>
      <c r="H8" s="25"/>
      <c r="I8" s="18"/>
      <c r="J8" s="18"/>
      <c r="K8" s="18"/>
      <c r="L8" s="18"/>
      <c r="M8" s="18"/>
      <c r="N8" s="18"/>
      <c r="O8" s="18"/>
      <c r="P8" s="25"/>
      <c r="Q8" s="18"/>
      <c r="R8" s="18"/>
      <c r="S8" s="18"/>
      <c r="T8" s="18"/>
      <c r="U8" s="18"/>
      <c r="V8" s="18"/>
      <c r="W8" s="18"/>
      <c r="X8" s="25"/>
      <c r="Y8" s="18"/>
      <c r="AA8" s="18"/>
    </row>
    <row r="9" spans="1:27" ht="30.75" customHeight="1" x14ac:dyDescent="0.45">
      <c r="A9" s="22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18"/>
      <c r="H9" s="25"/>
      <c r="I9" s="18"/>
      <c r="J9" s="18"/>
      <c r="K9" s="18"/>
      <c r="L9" s="18"/>
      <c r="M9" s="18"/>
      <c r="N9" s="18"/>
      <c r="O9" s="18"/>
      <c r="P9" s="25"/>
      <c r="Q9" s="18"/>
      <c r="R9" s="18"/>
      <c r="S9" s="18"/>
      <c r="T9" s="18"/>
      <c r="U9" s="18"/>
      <c r="V9" s="18"/>
      <c r="W9" s="18"/>
      <c r="X9" s="25"/>
      <c r="Y9" s="18"/>
      <c r="AA9" s="18"/>
    </row>
    <row r="10" spans="1:27" ht="30.75" customHeight="1" x14ac:dyDescent="0.45">
      <c r="A10" s="22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18"/>
      <c r="H10" s="25"/>
      <c r="I10" s="18"/>
      <c r="J10" s="18"/>
      <c r="K10" s="18"/>
      <c r="L10" s="18"/>
      <c r="M10" s="18"/>
      <c r="N10" s="18"/>
      <c r="O10" s="18"/>
      <c r="P10" s="25"/>
      <c r="Q10" s="18"/>
      <c r="R10" s="18"/>
      <c r="S10" s="18"/>
      <c r="T10" s="18"/>
      <c r="U10" s="18"/>
      <c r="V10" s="18"/>
      <c r="W10" s="18"/>
      <c r="X10" s="25"/>
      <c r="Y10" s="18"/>
      <c r="AA10" s="18"/>
    </row>
    <row r="11" spans="1:27" ht="30.75" customHeight="1" x14ac:dyDescent="0.45">
      <c r="A11" s="22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18"/>
      <c r="H11" s="25"/>
      <c r="I11" s="18"/>
      <c r="J11" s="18"/>
      <c r="K11" s="18"/>
      <c r="L11" s="18"/>
      <c r="M11" s="18"/>
      <c r="N11" s="18"/>
      <c r="O11" s="18"/>
      <c r="P11" s="25"/>
      <c r="Q11" s="18"/>
      <c r="R11" s="18"/>
      <c r="S11" s="18"/>
      <c r="T11" s="18"/>
      <c r="U11" s="18"/>
      <c r="V11" s="18"/>
      <c r="W11" s="18"/>
      <c r="X11" s="25"/>
      <c r="Y11" s="18"/>
      <c r="AA11" s="18"/>
    </row>
    <row r="12" spans="1:27" ht="30.75" customHeight="1" x14ac:dyDescent="0.45">
      <c r="A12" s="22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18"/>
      <c r="H12" s="25"/>
      <c r="I12" s="18"/>
      <c r="J12" s="18"/>
      <c r="K12" s="18"/>
      <c r="L12" s="18"/>
      <c r="M12" s="18"/>
      <c r="N12" s="18"/>
      <c r="O12" s="18"/>
      <c r="P12" s="25"/>
      <c r="Q12" s="18"/>
      <c r="R12" s="18"/>
      <c r="S12" s="18"/>
      <c r="T12" s="18"/>
      <c r="U12" s="18"/>
      <c r="V12" s="18"/>
      <c r="W12" s="18"/>
      <c r="X12" s="25"/>
      <c r="Y12" s="18"/>
      <c r="AA12" s="18"/>
    </row>
    <row r="13" spans="1:27" ht="30.75" customHeight="1" x14ac:dyDescent="0.45">
      <c r="A13" s="22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18"/>
      <c r="H13" s="25"/>
      <c r="I13" s="18"/>
      <c r="J13" s="18"/>
      <c r="K13" s="18"/>
      <c r="L13" s="18"/>
      <c r="M13" s="18"/>
      <c r="N13" s="18"/>
      <c r="O13" s="18"/>
      <c r="P13" s="25"/>
      <c r="Q13" s="18"/>
      <c r="R13" s="18"/>
      <c r="S13" s="18"/>
      <c r="T13" s="18"/>
      <c r="U13" s="18"/>
      <c r="V13" s="18"/>
      <c r="W13" s="18"/>
      <c r="X13" s="25"/>
      <c r="Y13" s="18"/>
      <c r="AA13" s="18"/>
    </row>
    <row r="14" spans="1:27" ht="30.75" customHeight="1" x14ac:dyDescent="0.45">
      <c r="A14" s="22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18"/>
      <c r="H14" s="25"/>
      <c r="I14" s="18"/>
      <c r="J14" s="18"/>
      <c r="K14" s="18"/>
      <c r="L14" s="18"/>
      <c r="M14" s="18"/>
      <c r="N14" s="18"/>
      <c r="O14" s="18"/>
      <c r="P14" s="25"/>
      <c r="Q14" s="18"/>
      <c r="R14" s="18"/>
      <c r="S14" s="18"/>
      <c r="T14" s="18"/>
      <c r="U14" s="18"/>
      <c r="V14" s="18"/>
      <c r="W14" s="18"/>
      <c r="X14" s="25"/>
      <c r="Y14" s="18"/>
      <c r="AA14" s="18"/>
    </row>
    <row r="15" spans="1:27" ht="30.75" customHeight="1" x14ac:dyDescent="0.45">
      <c r="A15" s="22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18"/>
      <c r="H15" s="25"/>
      <c r="I15" s="18"/>
      <c r="J15" s="18"/>
      <c r="K15" s="18"/>
      <c r="L15" s="18"/>
      <c r="M15" s="18"/>
      <c r="N15" s="18"/>
      <c r="O15" s="18"/>
      <c r="P15" s="25"/>
      <c r="Q15" s="18"/>
      <c r="R15" s="18"/>
      <c r="S15" s="18"/>
      <c r="T15" s="18"/>
      <c r="U15" s="18"/>
      <c r="V15" s="18"/>
      <c r="W15" s="18"/>
      <c r="X15" s="25"/>
      <c r="Y15" s="18"/>
      <c r="AA15" s="18"/>
    </row>
  </sheetData>
  <phoneticPr fontId="6"/>
  <conditionalFormatting sqref="G6:G1000">
    <cfRule type="expression" dxfId="11" priority="1">
      <formula>AND($G6="", COUNTA($I6:$Y6)&gt;0)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AE012-5644-4F8E-A727-360487B1034A}">
  <sheetPr codeName="Sheet3"/>
  <dimension ref="A1:AG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31" width="27.3984375" style="19" customWidth="1"/>
    <col min="32" max="32" width="2.59765625" style="21" customWidth="1"/>
    <col min="33" max="33" width="27.3984375" style="21" customWidth="1"/>
    <col min="34" max="16384" width="9" style="19"/>
  </cols>
  <sheetData>
    <row r="1" spans="1:33" ht="24.6" x14ac:dyDescent="0.45">
      <c r="A1" s="43" t="s">
        <v>83</v>
      </c>
      <c r="B1" s="43"/>
      <c r="C1" s="45" t="s">
        <v>199</v>
      </c>
      <c r="D1" s="43"/>
      <c r="E1" s="43"/>
      <c r="F1" s="43"/>
      <c r="H1" s="45"/>
    </row>
    <row r="3" spans="1:33" s="52" customFormat="1" ht="30" customHeight="1" x14ac:dyDescent="0.45">
      <c r="A3" s="54" t="s">
        <v>143</v>
      </c>
      <c r="B3" s="54" t="s">
        <v>188</v>
      </c>
      <c r="C3" s="54" t="s">
        <v>189</v>
      </c>
      <c r="D3" s="54" t="s">
        <v>190</v>
      </c>
      <c r="E3" s="54" t="s">
        <v>191</v>
      </c>
      <c r="F3" s="54" t="s">
        <v>233</v>
      </c>
      <c r="G3" s="54" t="s">
        <v>40</v>
      </c>
      <c r="H3" s="54" t="s">
        <v>238</v>
      </c>
      <c r="I3" s="54" t="s">
        <v>65</v>
      </c>
      <c r="J3" s="54" t="s">
        <v>66</v>
      </c>
      <c r="K3" s="54" t="s">
        <v>67</v>
      </c>
      <c r="L3" s="54" t="s">
        <v>68</v>
      </c>
      <c r="M3" s="54" t="s">
        <v>69</v>
      </c>
      <c r="N3" s="54" t="s">
        <v>70</v>
      </c>
      <c r="O3" s="54" t="s">
        <v>71</v>
      </c>
      <c r="P3" s="54" t="s">
        <v>248</v>
      </c>
      <c r="Q3" s="54" t="s">
        <v>249</v>
      </c>
      <c r="R3" s="54" t="s">
        <v>250</v>
      </c>
      <c r="S3" s="54" t="s">
        <v>251</v>
      </c>
      <c r="T3" s="54" t="s">
        <v>252</v>
      </c>
      <c r="U3" s="54" t="s">
        <v>253</v>
      </c>
      <c r="V3" s="54" t="s">
        <v>16</v>
      </c>
      <c r="W3" s="54" t="s">
        <v>30</v>
      </c>
      <c r="X3" s="54" t="s">
        <v>31</v>
      </c>
      <c r="Y3" s="54" t="s">
        <v>32</v>
      </c>
      <c r="Z3" s="54" t="s">
        <v>33</v>
      </c>
      <c r="AA3" s="54" t="s">
        <v>34</v>
      </c>
      <c r="AB3" s="54" t="s">
        <v>35</v>
      </c>
      <c r="AC3" s="54" t="s">
        <v>36</v>
      </c>
      <c r="AD3" s="54" t="s">
        <v>235</v>
      </c>
      <c r="AE3" s="54" t="s">
        <v>51</v>
      </c>
      <c r="AF3" s="55"/>
      <c r="AG3" s="56" t="s">
        <v>154</v>
      </c>
    </row>
    <row r="4" spans="1:33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52</v>
      </c>
      <c r="I4" s="34" t="s">
        <v>72</v>
      </c>
      <c r="J4" s="34" t="s">
        <v>73</v>
      </c>
      <c r="K4" s="34" t="s">
        <v>74</v>
      </c>
      <c r="L4" s="34" t="s">
        <v>75</v>
      </c>
      <c r="M4" s="34" t="s">
        <v>76</v>
      </c>
      <c r="N4" s="34" t="s">
        <v>77</v>
      </c>
      <c r="O4" s="34" t="s">
        <v>61</v>
      </c>
      <c r="P4" s="34" t="s">
        <v>222</v>
      </c>
      <c r="Q4" s="34" t="s">
        <v>78</v>
      </c>
      <c r="R4" s="34" t="s">
        <v>79</v>
      </c>
      <c r="S4" s="34" t="s">
        <v>80</v>
      </c>
      <c r="T4" s="34" t="s">
        <v>81</v>
      </c>
      <c r="U4" s="34" t="s">
        <v>82</v>
      </c>
      <c r="V4" s="34" t="s">
        <v>16</v>
      </c>
      <c r="W4" s="34" t="s">
        <v>17</v>
      </c>
      <c r="X4" s="34" t="s">
        <v>18</v>
      </c>
      <c r="Y4" s="34" t="s">
        <v>19</v>
      </c>
      <c r="Z4" s="34" t="s">
        <v>219</v>
      </c>
      <c r="AA4" s="34" t="s">
        <v>20</v>
      </c>
      <c r="AB4" s="34" t="s">
        <v>21</v>
      </c>
      <c r="AC4" s="34" t="s">
        <v>220</v>
      </c>
      <c r="AD4" s="34" t="s">
        <v>221</v>
      </c>
      <c r="AE4" s="34" t="s">
        <v>22</v>
      </c>
      <c r="AF4" s="19"/>
      <c r="AG4" s="33" t="s">
        <v>155</v>
      </c>
    </row>
    <row r="5" spans="1:33" ht="86.4" x14ac:dyDescent="0.45">
      <c r="A5" s="33" t="s">
        <v>142</v>
      </c>
      <c r="B5" s="33"/>
      <c r="C5" s="33"/>
      <c r="D5" s="33"/>
      <c r="E5" s="33"/>
      <c r="F5" s="33"/>
      <c r="G5" s="34" t="s">
        <v>144</v>
      </c>
      <c r="H5" s="34" t="s">
        <v>270</v>
      </c>
      <c r="I5" s="34"/>
      <c r="J5" s="35" t="s">
        <v>153</v>
      </c>
      <c r="K5" s="35" t="s">
        <v>153</v>
      </c>
      <c r="L5" s="34"/>
      <c r="M5" s="34"/>
      <c r="N5" s="38" t="s">
        <v>278</v>
      </c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19"/>
      <c r="AG5" s="33" t="s">
        <v>156</v>
      </c>
    </row>
    <row r="6" spans="1:33" s="26" customFormat="1" ht="31.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5"/>
      <c r="W6" s="20"/>
      <c r="X6" s="20"/>
      <c r="Y6" s="20"/>
      <c r="Z6" s="20"/>
      <c r="AA6" s="20"/>
      <c r="AB6" s="20"/>
      <c r="AC6" s="20"/>
      <c r="AD6" s="25"/>
      <c r="AE6" s="20"/>
      <c r="AF6" s="21"/>
      <c r="AG6" s="23"/>
    </row>
    <row r="7" spans="1:33" s="26" customFormat="1" ht="31.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5"/>
      <c r="W7" s="20"/>
      <c r="X7" s="20"/>
      <c r="Y7" s="20"/>
      <c r="Z7" s="20"/>
      <c r="AA7" s="20"/>
      <c r="AB7" s="20"/>
      <c r="AC7" s="20"/>
      <c r="AD7" s="25"/>
      <c r="AE7" s="20"/>
      <c r="AF7" s="21"/>
      <c r="AG7" s="23"/>
    </row>
    <row r="8" spans="1:33" s="26" customFormat="1" ht="31.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5"/>
      <c r="W8" s="20"/>
      <c r="X8" s="20"/>
      <c r="Y8" s="20"/>
      <c r="Z8" s="20"/>
      <c r="AA8" s="20"/>
      <c r="AB8" s="20"/>
      <c r="AC8" s="20"/>
      <c r="AD8" s="25"/>
      <c r="AE8" s="20"/>
      <c r="AF8" s="21"/>
      <c r="AG8" s="23"/>
    </row>
    <row r="9" spans="1:33" s="26" customFormat="1" ht="31.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5"/>
      <c r="W9" s="20"/>
      <c r="X9" s="20"/>
      <c r="Y9" s="20"/>
      <c r="Z9" s="20"/>
      <c r="AA9" s="20"/>
      <c r="AB9" s="20"/>
      <c r="AC9" s="20"/>
      <c r="AD9" s="25"/>
      <c r="AE9" s="20"/>
      <c r="AF9" s="21"/>
      <c r="AG9" s="23"/>
    </row>
    <row r="10" spans="1:33" s="26" customFormat="1" ht="31.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5"/>
      <c r="W10" s="20"/>
      <c r="X10" s="20"/>
      <c r="Y10" s="20"/>
      <c r="Z10" s="20"/>
      <c r="AA10" s="20"/>
      <c r="AB10" s="20"/>
      <c r="AC10" s="20"/>
      <c r="AD10" s="25"/>
      <c r="AE10" s="20"/>
      <c r="AF10" s="21"/>
      <c r="AG10" s="23"/>
    </row>
    <row r="11" spans="1:33" s="26" customFormat="1" ht="31.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5"/>
      <c r="W11" s="20"/>
      <c r="X11" s="20"/>
      <c r="Y11" s="20"/>
      <c r="Z11" s="20"/>
      <c r="AA11" s="20"/>
      <c r="AB11" s="20"/>
      <c r="AC11" s="20"/>
      <c r="AD11" s="25"/>
      <c r="AE11" s="20"/>
      <c r="AF11" s="21"/>
      <c r="AG11" s="23"/>
    </row>
    <row r="12" spans="1:33" s="26" customFormat="1" ht="31.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5"/>
      <c r="W12" s="20"/>
      <c r="X12" s="20"/>
      <c r="Y12" s="20"/>
      <c r="Z12" s="20"/>
      <c r="AA12" s="20"/>
      <c r="AB12" s="20"/>
      <c r="AC12" s="20"/>
      <c r="AD12" s="25"/>
      <c r="AE12" s="20"/>
      <c r="AF12" s="21"/>
      <c r="AG12" s="23"/>
    </row>
    <row r="13" spans="1:33" s="26" customFormat="1" ht="31.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5"/>
      <c r="W13" s="20"/>
      <c r="X13" s="20"/>
      <c r="Y13" s="20"/>
      <c r="Z13" s="20"/>
      <c r="AA13" s="20"/>
      <c r="AB13" s="20"/>
      <c r="AC13" s="20"/>
      <c r="AD13" s="25"/>
      <c r="AE13" s="20"/>
      <c r="AF13" s="21"/>
      <c r="AG13" s="23"/>
    </row>
    <row r="14" spans="1:33" s="26" customFormat="1" ht="31.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5"/>
      <c r="W14" s="20"/>
      <c r="X14" s="20"/>
      <c r="Y14" s="20"/>
      <c r="Z14" s="20"/>
      <c r="AA14" s="20"/>
      <c r="AB14" s="20"/>
      <c r="AC14" s="20"/>
      <c r="AD14" s="25"/>
      <c r="AE14" s="20"/>
      <c r="AF14" s="21"/>
      <c r="AG14" s="23"/>
    </row>
    <row r="15" spans="1:33" s="26" customFormat="1" ht="31.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5"/>
      <c r="W15" s="20"/>
      <c r="X15" s="20"/>
      <c r="Y15" s="20"/>
      <c r="Z15" s="20"/>
      <c r="AA15" s="20"/>
      <c r="AB15" s="20"/>
      <c r="AC15" s="20"/>
      <c r="AD15" s="25"/>
      <c r="AE15" s="20"/>
      <c r="AF15" s="21"/>
      <c r="AG15" s="23"/>
    </row>
  </sheetData>
  <phoneticPr fontId="6"/>
  <conditionalFormatting sqref="G6:G1000">
    <cfRule type="expression" dxfId="10" priority="2">
      <formula>AND($G6="", COUNTA($I6:$AE6)&gt;0)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E173-A03B-42B5-8A90-87B2C431D063}">
  <sheetPr codeName="Sheet4"/>
  <dimension ref="A1:AD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14" width="27.3984375" style="19" customWidth="1"/>
    <col min="15" max="15" width="31.3984375" style="19" customWidth="1"/>
    <col min="16" max="16" width="31.69921875" style="19" customWidth="1"/>
    <col min="17" max="28" width="27.3984375" style="19" customWidth="1"/>
    <col min="29" max="29" width="2.59765625" style="21" customWidth="1"/>
    <col min="30" max="30" width="27.3984375" style="21" customWidth="1"/>
    <col min="31" max="16384" width="9" style="19"/>
  </cols>
  <sheetData>
    <row r="1" spans="1:30" ht="24.6" x14ac:dyDescent="0.45">
      <c r="A1" s="43" t="s">
        <v>64</v>
      </c>
      <c r="B1" s="43"/>
      <c r="C1" s="45" t="s">
        <v>199</v>
      </c>
      <c r="D1" s="43"/>
      <c r="E1" s="43"/>
      <c r="F1" s="43"/>
      <c r="H1" s="45"/>
    </row>
    <row r="3" spans="1:30" s="52" customFormat="1" ht="30" customHeight="1" x14ac:dyDescent="0.45">
      <c r="A3" s="57" t="s">
        <v>39</v>
      </c>
      <c r="B3" s="57" t="s">
        <v>188</v>
      </c>
      <c r="C3" s="57" t="s">
        <v>189</v>
      </c>
      <c r="D3" s="57" t="s">
        <v>190</v>
      </c>
      <c r="E3" s="57" t="s">
        <v>191</v>
      </c>
      <c r="F3" s="57" t="s">
        <v>233</v>
      </c>
      <c r="G3" s="57" t="s">
        <v>40</v>
      </c>
      <c r="H3" s="57" t="s">
        <v>238</v>
      </c>
      <c r="I3" s="57" t="s">
        <v>41</v>
      </c>
      <c r="J3" s="57" t="s">
        <v>42</v>
      </c>
      <c r="K3" s="57" t="s">
        <v>43</v>
      </c>
      <c r="L3" s="57" t="s">
        <v>44</v>
      </c>
      <c r="M3" s="57" t="s">
        <v>45</v>
      </c>
      <c r="N3" s="57" t="s">
        <v>46</v>
      </c>
      <c r="O3" s="57" t="s">
        <v>47</v>
      </c>
      <c r="P3" s="57" t="s">
        <v>48</v>
      </c>
      <c r="Q3" s="57" t="s">
        <v>49</v>
      </c>
      <c r="R3" s="57" t="s">
        <v>50</v>
      </c>
      <c r="S3" s="57" t="s">
        <v>16</v>
      </c>
      <c r="T3" s="57" t="s">
        <v>30</v>
      </c>
      <c r="U3" s="57" t="s">
        <v>31</v>
      </c>
      <c r="V3" s="57" t="s">
        <v>32</v>
      </c>
      <c r="W3" s="57" t="s">
        <v>33</v>
      </c>
      <c r="X3" s="57" t="s">
        <v>34</v>
      </c>
      <c r="Y3" s="57" t="s">
        <v>35</v>
      </c>
      <c r="Z3" s="57" t="s">
        <v>36</v>
      </c>
      <c r="AA3" s="57" t="s">
        <v>235</v>
      </c>
      <c r="AB3" s="57" t="s">
        <v>51</v>
      </c>
      <c r="AC3" s="55"/>
      <c r="AD3" s="56" t="s">
        <v>154</v>
      </c>
    </row>
    <row r="4" spans="1:30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52</v>
      </c>
      <c r="I4" s="34" t="s">
        <v>53</v>
      </c>
      <c r="J4" s="34" t="s">
        <v>54</v>
      </c>
      <c r="K4" s="34" t="s">
        <v>55</v>
      </c>
      <c r="L4" s="34" t="s">
        <v>56</v>
      </c>
      <c r="M4" s="34" t="s">
        <v>57</v>
      </c>
      <c r="N4" s="34" t="s">
        <v>223</v>
      </c>
      <c r="O4" s="34" t="s">
        <v>58</v>
      </c>
      <c r="P4" s="34" t="s">
        <v>59</v>
      </c>
      <c r="Q4" s="34" t="s">
        <v>60</v>
      </c>
      <c r="R4" s="34" t="s">
        <v>61</v>
      </c>
      <c r="S4" s="34" t="s">
        <v>16</v>
      </c>
      <c r="T4" s="34" t="s">
        <v>17</v>
      </c>
      <c r="U4" s="34" t="s">
        <v>18</v>
      </c>
      <c r="V4" s="34" t="s">
        <v>19</v>
      </c>
      <c r="W4" s="34" t="s">
        <v>219</v>
      </c>
      <c r="X4" s="34" t="s">
        <v>20</v>
      </c>
      <c r="Y4" s="34" t="s">
        <v>21</v>
      </c>
      <c r="Z4" s="34" t="s">
        <v>220</v>
      </c>
      <c r="AA4" s="34" t="s">
        <v>221</v>
      </c>
      <c r="AB4" s="34" t="s">
        <v>22</v>
      </c>
      <c r="AC4" s="19"/>
      <c r="AD4" s="33" t="s">
        <v>155</v>
      </c>
    </row>
    <row r="5" spans="1:30" ht="129.6" x14ac:dyDescent="0.45">
      <c r="A5" s="33" t="s">
        <v>142</v>
      </c>
      <c r="B5" s="33"/>
      <c r="C5" s="33"/>
      <c r="D5" s="33"/>
      <c r="E5" s="33"/>
      <c r="F5" s="33"/>
      <c r="G5" s="34" t="s">
        <v>247</v>
      </c>
      <c r="H5" s="34" t="s">
        <v>270</v>
      </c>
      <c r="I5" s="34"/>
      <c r="J5" s="34"/>
      <c r="K5" s="34"/>
      <c r="L5" s="34"/>
      <c r="M5" s="34"/>
      <c r="N5" s="38" t="s">
        <v>279</v>
      </c>
      <c r="O5" s="38" t="s">
        <v>280</v>
      </c>
      <c r="P5" s="34" t="s">
        <v>205</v>
      </c>
      <c r="Q5" s="34" t="s">
        <v>62</v>
      </c>
      <c r="R5" s="34" t="s">
        <v>63</v>
      </c>
      <c r="S5" s="34"/>
      <c r="T5" s="34"/>
      <c r="U5" s="34"/>
      <c r="V5" s="34"/>
      <c r="W5" s="34"/>
      <c r="X5" s="34"/>
      <c r="Y5" s="34"/>
      <c r="Z5" s="34"/>
      <c r="AA5" s="34"/>
      <c r="AB5" s="34"/>
      <c r="AC5" s="19"/>
      <c r="AD5" s="33" t="s">
        <v>156</v>
      </c>
    </row>
    <row r="6" spans="1:30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5"/>
      <c r="T6" s="20"/>
      <c r="U6" s="20"/>
      <c r="V6" s="20"/>
      <c r="W6" s="20"/>
      <c r="X6" s="20"/>
      <c r="Y6" s="20"/>
      <c r="Z6" s="20"/>
      <c r="AA6" s="25"/>
      <c r="AB6" s="20"/>
      <c r="AC6" s="21"/>
      <c r="AD6" s="23"/>
    </row>
    <row r="7" spans="1:30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0"/>
      <c r="J7" s="20"/>
      <c r="K7" s="20"/>
      <c r="L7" s="20"/>
      <c r="M7" s="20"/>
      <c r="N7" s="20"/>
      <c r="O7" s="20"/>
      <c r="P7" s="20"/>
      <c r="Q7" s="20"/>
      <c r="R7" s="20"/>
      <c r="S7" s="25"/>
      <c r="T7" s="20"/>
      <c r="U7" s="20"/>
      <c r="V7" s="20"/>
      <c r="W7" s="20"/>
      <c r="X7" s="20"/>
      <c r="Y7" s="20"/>
      <c r="Z7" s="20"/>
      <c r="AA7" s="25"/>
      <c r="AB7" s="20"/>
      <c r="AC7" s="21"/>
      <c r="AD7" s="23"/>
    </row>
    <row r="8" spans="1:30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5"/>
      <c r="T8" s="20"/>
      <c r="U8" s="20"/>
      <c r="V8" s="20"/>
      <c r="W8" s="20"/>
      <c r="X8" s="20"/>
      <c r="Y8" s="20"/>
      <c r="Z8" s="20"/>
      <c r="AA8" s="25"/>
      <c r="AB8" s="20"/>
      <c r="AC8" s="21"/>
      <c r="AD8" s="23"/>
    </row>
    <row r="9" spans="1:30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0"/>
      <c r="J9" s="20"/>
      <c r="K9" s="20"/>
      <c r="L9" s="20"/>
      <c r="M9" s="20"/>
      <c r="N9" s="20"/>
      <c r="O9" s="20"/>
      <c r="P9" s="20"/>
      <c r="Q9" s="20"/>
      <c r="R9" s="20"/>
      <c r="S9" s="25"/>
      <c r="T9" s="20"/>
      <c r="U9" s="20"/>
      <c r="V9" s="20"/>
      <c r="W9" s="20"/>
      <c r="X9" s="20"/>
      <c r="Y9" s="20"/>
      <c r="Z9" s="20"/>
      <c r="AA9" s="25"/>
      <c r="AB9" s="20"/>
      <c r="AC9" s="21"/>
      <c r="AD9" s="23"/>
    </row>
    <row r="10" spans="1:30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5"/>
      <c r="T10" s="20"/>
      <c r="U10" s="20"/>
      <c r="V10" s="20"/>
      <c r="W10" s="20"/>
      <c r="X10" s="20"/>
      <c r="Y10" s="20"/>
      <c r="Z10" s="20"/>
      <c r="AA10" s="25"/>
      <c r="AB10" s="20"/>
      <c r="AC10" s="21"/>
      <c r="AD10" s="23"/>
    </row>
    <row r="11" spans="1:30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5"/>
      <c r="T11" s="20"/>
      <c r="U11" s="20"/>
      <c r="V11" s="20"/>
      <c r="W11" s="20"/>
      <c r="X11" s="20"/>
      <c r="Y11" s="20"/>
      <c r="Z11" s="20"/>
      <c r="AA11" s="25"/>
      <c r="AB11" s="20"/>
      <c r="AC11" s="21"/>
      <c r="AD11" s="23"/>
    </row>
    <row r="12" spans="1:30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5"/>
      <c r="T12" s="20"/>
      <c r="U12" s="20"/>
      <c r="V12" s="20"/>
      <c r="W12" s="20"/>
      <c r="X12" s="20"/>
      <c r="Y12" s="20"/>
      <c r="Z12" s="20"/>
      <c r="AA12" s="25"/>
      <c r="AB12" s="20"/>
      <c r="AC12" s="21"/>
      <c r="AD12" s="23"/>
    </row>
    <row r="13" spans="1:30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5"/>
      <c r="T13" s="20"/>
      <c r="U13" s="20"/>
      <c r="V13" s="20"/>
      <c r="W13" s="20"/>
      <c r="X13" s="20"/>
      <c r="Y13" s="20"/>
      <c r="Z13" s="20"/>
      <c r="AA13" s="25"/>
      <c r="AB13" s="20"/>
      <c r="AC13" s="21"/>
      <c r="AD13" s="23"/>
    </row>
    <row r="14" spans="1:30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5"/>
      <c r="T14" s="20"/>
      <c r="U14" s="20"/>
      <c r="V14" s="20"/>
      <c r="W14" s="20"/>
      <c r="X14" s="20"/>
      <c r="Y14" s="20"/>
      <c r="Z14" s="20"/>
      <c r="AA14" s="25"/>
      <c r="AB14" s="20"/>
      <c r="AC14" s="21"/>
      <c r="AD14" s="23"/>
    </row>
    <row r="15" spans="1:30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5"/>
      <c r="T15" s="20"/>
      <c r="U15" s="20"/>
      <c r="V15" s="20"/>
      <c r="W15" s="20"/>
      <c r="X15" s="20"/>
      <c r="Y15" s="20"/>
      <c r="Z15" s="20"/>
      <c r="AA15" s="25"/>
      <c r="AB15" s="20"/>
      <c r="AC15" s="21"/>
      <c r="AD15" s="23"/>
    </row>
  </sheetData>
  <phoneticPr fontId="6"/>
  <conditionalFormatting sqref="G6:G1000">
    <cfRule type="expression" dxfId="9" priority="1">
      <formula>AND($G6="", COUNTA($I6:$AB6)&gt;0)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F757-4242-4983-A524-4EB70A476FD8}">
  <sheetPr codeName="Sheet5"/>
  <dimension ref="A1:AF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8" width="30.69921875" style="19" customWidth="1"/>
    <col min="9" max="30" width="27.3984375" style="19" customWidth="1"/>
    <col min="31" max="31" width="2.59765625" style="21" customWidth="1"/>
    <col min="32" max="32" width="27.3984375" style="21" customWidth="1"/>
    <col min="33" max="16384" width="9" style="19"/>
  </cols>
  <sheetData>
    <row r="1" spans="1:32" ht="24.6" x14ac:dyDescent="0.45">
      <c r="A1" s="43" t="s">
        <v>84</v>
      </c>
      <c r="B1" s="43"/>
      <c r="C1" s="45" t="s">
        <v>199</v>
      </c>
      <c r="D1" s="43"/>
      <c r="E1" s="43"/>
      <c r="F1" s="43"/>
      <c r="H1" s="45"/>
    </row>
    <row r="3" spans="1:32" s="52" customFormat="1" ht="30" customHeight="1" x14ac:dyDescent="0.45">
      <c r="A3" s="58" t="s">
        <v>143</v>
      </c>
      <c r="B3" s="58" t="s">
        <v>188</v>
      </c>
      <c r="C3" s="58" t="s">
        <v>189</v>
      </c>
      <c r="D3" s="58" t="s">
        <v>190</v>
      </c>
      <c r="E3" s="58" t="s">
        <v>191</v>
      </c>
      <c r="F3" s="58" t="s">
        <v>233</v>
      </c>
      <c r="G3" s="58" t="s">
        <v>40</v>
      </c>
      <c r="H3" s="58" t="s">
        <v>238</v>
      </c>
      <c r="I3" s="58" t="s">
        <v>242</v>
      </c>
      <c r="J3" s="58" t="s">
        <v>243</v>
      </c>
      <c r="K3" s="58" t="s">
        <v>147</v>
      </c>
      <c r="L3" s="58" t="s">
        <v>148</v>
      </c>
      <c r="M3" s="58" t="s">
        <v>45</v>
      </c>
      <c r="N3" s="58" t="s">
        <v>46</v>
      </c>
      <c r="O3" s="58" t="s">
        <v>50</v>
      </c>
      <c r="P3" s="58" t="s">
        <v>178</v>
      </c>
      <c r="Q3" s="58" t="s">
        <v>179</v>
      </c>
      <c r="R3" s="58" t="s">
        <v>149</v>
      </c>
      <c r="S3" s="58" t="s">
        <v>150</v>
      </c>
      <c r="T3" s="58" t="s">
        <v>43</v>
      </c>
      <c r="U3" s="58" t="s">
        <v>16</v>
      </c>
      <c r="V3" s="58" t="s">
        <v>30</v>
      </c>
      <c r="W3" s="58" t="s">
        <v>31</v>
      </c>
      <c r="X3" s="58" t="s">
        <v>32</v>
      </c>
      <c r="Y3" s="58" t="s">
        <v>33</v>
      </c>
      <c r="Z3" s="58" t="s">
        <v>34</v>
      </c>
      <c r="AA3" s="58" t="s">
        <v>35</v>
      </c>
      <c r="AB3" s="58" t="s">
        <v>36</v>
      </c>
      <c r="AC3" s="58" t="s">
        <v>235</v>
      </c>
      <c r="AD3" s="58" t="s">
        <v>51</v>
      </c>
      <c r="AE3" s="55"/>
      <c r="AF3" s="56" t="s">
        <v>154</v>
      </c>
    </row>
    <row r="4" spans="1:32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52</v>
      </c>
      <c r="I4" s="34" t="s">
        <v>241</v>
      </c>
      <c r="J4" s="34" t="s">
        <v>85</v>
      </c>
      <c r="K4" s="34" t="s">
        <v>86</v>
      </c>
      <c r="L4" s="34" t="s">
        <v>75</v>
      </c>
      <c r="M4" s="34" t="s">
        <v>76</v>
      </c>
      <c r="N4" s="34" t="s">
        <v>87</v>
      </c>
      <c r="O4" s="34" t="s">
        <v>61</v>
      </c>
      <c r="P4" s="34" t="s">
        <v>88</v>
      </c>
      <c r="Q4" s="34" t="s">
        <v>89</v>
      </c>
      <c r="R4" s="34" t="s">
        <v>90</v>
      </c>
      <c r="S4" s="34" t="s">
        <v>91</v>
      </c>
      <c r="T4" s="34" t="s">
        <v>92</v>
      </c>
      <c r="U4" s="34"/>
      <c r="V4" s="34" t="s">
        <v>17</v>
      </c>
      <c r="W4" s="34" t="s">
        <v>18</v>
      </c>
      <c r="X4" s="34" t="s">
        <v>19</v>
      </c>
      <c r="Y4" s="34" t="s">
        <v>219</v>
      </c>
      <c r="Z4" s="34" t="s">
        <v>20</v>
      </c>
      <c r="AA4" s="34" t="s">
        <v>21</v>
      </c>
      <c r="AB4" s="34" t="s">
        <v>220</v>
      </c>
      <c r="AC4" s="34" t="s">
        <v>221</v>
      </c>
      <c r="AD4" s="34" t="s">
        <v>22</v>
      </c>
      <c r="AE4" s="19"/>
      <c r="AF4" s="33" t="s">
        <v>155</v>
      </c>
    </row>
    <row r="5" spans="1:32" ht="86.4" x14ac:dyDescent="0.45">
      <c r="A5" s="33" t="s">
        <v>142</v>
      </c>
      <c r="B5" s="33"/>
      <c r="C5" s="33"/>
      <c r="D5" s="33"/>
      <c r="E5" s="33"/>
      <c r="F5" s="33"/>
      <c r="G5" s="34" t="s">
        <v>246</v>
      </c>
      <c r="H5" s="34" t="s">
        <v>240</v>
      </c>
      <c r="I5" s="34" t="s">
        <v>244</v>
      </c>
      <c r="J5" s="34" t="s">
        <v>245</v>
      </c>
      <c r="K5" s="34" t="s">
        <v>93</v>
      </c>
      <c r="L5" s="34"/>
      <c r="M5" s="34"/>
      <c r="N5" s="38" t="s">
        <v>279</v>
      </c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19"/>
      <c r="AF5" s="33" t="s">
        <v>156</v>
      </c>
    </row>
    <row r="6" spans="1:32" s="26" customFormat="1" ht="31.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5"/>
      <c r="J6" s="25"/>
      <c r="K6" s="20"/>
      <c r="L6" s="20"/>
      <c r="M6" s="20"/>
      <c r="N6" s="20"/>
      <c r="O6" s="20"/>
      <c r="P6" s="20"/>
      <c r="Q6" s="20"/>
      <c r="R6" s="20"/>
      <c r="S6" s="20"/>
      <c r="T6" s="20"/>
      <c r="U6" s="25"/>
      <c r="V6" s="20"/>
      <c r="W6" s="20"/>
      <c r="X6" s="20"/>
      <c r="Y6" s="20"/>
      <c r="Z6" s="20"/>
      <c r="AA6" s="20"/>
      <c r="AB6" s="20"/>
      <c r="AC6" s="25"/>
      <c r="AD6" s="20"/>
      <c r="AE6" s="21"/>
      <c r="AF6" s="23"/>
    </row>
    <row r="7" spans="1:32" s="26" customFormat="1" ht="31.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5"/>
      <c r="J7" s="25"/>
      <c r="K7" s="20"/>
      <c r="L7" s="20"/>
      <c r="M7" s="20"/>
      <c r="N7" s="20"/>
      <c r="O7" s="20"/>
      <c r="P7" s="20"/>
      <c r="Q7" s="20"/>
      <c r="R7" s="20"/>
      <c r="S7" s="20"/>
      <c r="T7" s="20"/>
      <c r="U7" s="25"/>
      <c r="V7" s="20"/>
      <c r="W7" s="20"/>
      <c r="X7" s="20"/>
      <c r="Y7" s="20"/>
      <c r="Z7" s="20"/>
      <c r="AA7" s="20"/>
      <c r="AB7" s="20"/>
      <c r="AC7" s="25"/>
      <c r="AD7" s="20"/>
      <c r="AE7" s="21"/>
      <c r="AF7" s="23"/>
    </row>
    <row r="8" spans="1:32" s="26" customFormat="1" ht="31.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5"/>
      <c r="J8" s="25"/>
      <c r="K8" s="20"/>
      <c r="L8" s="20"/>
      <c r="M8" s="20"/>
      <c r="N8" s="20"/>
      <c r="O8" s="20"/>
      <c r="P8" s="20"/>
      <c r="Q8" s="20"/>
      <c r="R8" s="20"/>
      <c r="S8" s="20"/>
      <c r="T8" s="20"/>
      <c r="U8" s="25"/>
      <c r="V8" s="20"/>
      <c r="W8" s="20"/>
      <c r="X8" s="20"/>
      <c r="Y8" s="20"/>
      <c r="Z8" s="20"/>
      <c r="AA8" s="20"/>
      <c r="AB8" s="20"/>
      <c r="AC8" s="25"/>
      <c r="AD8" s="20"/>
      <c r="AE8" s="21"/>
      <c r="AF8" s="23"/>
    </row>
    <row r="9" spans="1:32" s="26" customFormat="1" ht="31.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5"/>
      <c r="J9" s="25"/>
      <c r="K9" s="20"/>
      <c r="L9" s="20"/>
      <c r="M9" s="20"/>
      <c r="N9" s="20"/>
      <c r="O9" s="20"/>
      <c r="P9" s="20"/>
      <c r="Q9" s="20"/>
      <c r="R9" s="20"/>
      <c r="S9" s="20"/>
      <c r="T9" s="20"/>
      <c r="U9" s="25"/>
      <c r="V9" s="20"/>
      <c r="W9" s="20"/>
      <c r="X9" s="20"/>
      <c r="Y9" s="20"/>
      <c r="Z9" s="20"/>
      <c r="AA9" s="20"/>
      <c r="AB9" s="20"/>
      <c r="AC9" s="25"/>
      <c r="AD9" s="20"/>
      <c r="AE9" s="21"/>
      <c r="AF9" s="23"/>
    </row>
    <row r="10" spans="1:32" s="26" customFormat="1" ht="31.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5"/>
      <c r="J10" s="2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5"/>
      <c r="V10" s="20"/>
      <c r="W10" s="20"/>
      <c r="X10" s="20"/>
      <c r="Y10" s="20"/>
      <c r="Z10" s="20"/>
      <c r="AA10" s="20"/>
      <c r="AB10" s="20"/>
      <c r="AC10" s="25"/>
      <c r="AD10" s="20"/>
      <c r="AE10" s="21"/>
      <c r="AF10" s="23"/>
    </row>
    <row r="11" spans="1:32" s="26" customFormat="1" ht="31.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5"/>
      <c r="J11" s="2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5"/>
      <c r="V11" s="20"/>
      <c r="W11" s="20"/>
      <c r="X11" s="20"/>
      <c r="Y11" s="20"/>
      <c r="Z11" s="20"/>
      <c r="AA11" s="20"/>
      <c r="AB11" s="20"/>
      <c r="AC11" s="25"/>
      <c r="AD11" s="20"/>
      <c r="AE11" s="21"/>
      <c r="AF11" s="23"/>
    </row>
    <row r="12" spans="1:32" s="26" customFormat="1" ht="31.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5"/>
      <c r="J12" s="2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5"/>
      <c r="V12" s="20"/>
      <c r="W12" s="20"/>
      <c r="X12" s="20"/>
      <c r="Y12" s="20"/>
      <c r="Z12" s="20"/>
      <c r="AA12" s="20"/>
      <c r="AB12" s="20"/>
      <c r="AC12" s="25"/>
      <c r="AD12" s="20"/>
      <c r="AE12" s="21"/>
      <c r="AF12" s="23"/>
    </row>
    <row r="13" spans="1:32" s="26" customFormat="1" ht="31.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5"/>
      <c r="J13" s="2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5"/>
      <c r="V13" s="20"/>
      <c r="W13" s="20"/>
      <c r="X13" s="20"/>
      <c r="Y13" s="20"/>
      <c r="Z13" s="20"/>
      <c r="AA13" s="20"/>
      <c r="AB13" s="20"/>
      <c r="AC13" s="25"/>
      <c r="AD13" s="20"/>
      <c r="AE13" s="21"/>
      <c r="AF13" s="23"/>
    </row>
    <row r="14" spans="1:32" s="26" customFormat="1" ht="31.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5"/>
      <c r="J14" s="25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5"/>
      <c r="V14" s="20"/>
      <c r="W14" s="20"/>
      <c r="X14" s="20"/>
      <c r="Y14" s="20"/>
      <c r="Z14" s="20"/>
      <c r="AA14" s="20"/>
      <c r="AB14" s="20"/>
      <c r="AC14" s="25"/>
      <c r="AD14" s="20"/>
      <c r="AE14" s="21"/>
      <c r="AF14" s="23"/>
    </row>
    <row r="15" spans="1:32" s="26" customFormat="1" ht="31.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5"/>
      <c r="J15" s="25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5"/>
      <c r="V15" s="20"/>
      <c r="W15" s="20"/>
      <c r="X15" s="20"/>
      <c r="Y15" s="20"/>
      <c r="Z15" s="20"/>
      <c r="AA15" s="20"/>
      <c r="AB15" s="20"/>
      <c r="AC15" s="25"/>
      <c r="AD15" s="20"/>
      <c r="AE15" s="21"/>
      <c r="AF15" s="23"/>
    </row>
  </sheetData>
  <phoneticPr fontId="6"/>
  <conditionalFormatting sqref="G6:G1000">
    <cfRule type="expression" dxfId="8" priority="1">
      <formula>AND($G6="", COUNTA($K6:$AD6)&gt;0)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6372-CE05-4FDE-BFA3-7D753C6D3497}">
  <sheetPr codeName="Sheet6"/>
  <dimension ref="A1:AD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28" width="27.3984375" style="19" customWidth="1"/>
    <col min="29" max="29" width="2.59765625" style="21" customWidth="1"/>
    <col min="30" max="30" width="27.3984375" style="21" customWidth="1"/>
    <col min="31" max="16384" width="9" style="19"/>
  </cols>
  <sheetData>
    <row r="1" spans="1:30" ht="24.6" x14ac:dyDescent="0.45">
      <c r="A1" s="43" t="s">
        <v>94</v>
      </c>
      <c r="B1" s="43"/>
      <c r="C1" s="45" t="s">
        <v>199</v>
      </c>
      <c r="D1" s="43"/>
      <c r="E1" s="43"/>
      <c r="F1" s="43"/>
      <c r="H1" s="45"/>
    </row>
    <row r="3" spans="1:30" s="52" customFormat="1" ht="30" customHeight="1" x14ac:dyDescent="0.45">
      <c r="A3" s="59" t="s">
        <v>143</v>
      </c>
      <c r="B3" s="59" t="s">
        <v>188</v>
      </c>
      <c r="C3" s="59" t="s">
        <v>189</v>
      </c>
      <c r="D3" s="59" t="s">
        <v>190</v>
      </c>
      <c r="E3" s="59" t="s">
        <v>191</v>
      </c>
      <c r="F3" s="59" t="s">
        <v>233</v>
      </c>
      <c r="G3" s="59" t="s">
        <v>40</v>
      </c>
      <c r="H3" s="59" t="s">
        <v>254</v>
      </c>
      <c r="I3" s="59" t="s">
        <v>95</v>
      </c>
      <c r="J3" s="59" t="s">
        <v>45</v>
      </c>
      <c r="K3" s="59" t="s">
        <v>46</v>
      </c>
      <c r="L3" s="59" t="s">
        <v>255</v>
      </c>
      <c r="M3" s="59" t="s">
        <v>96</v>
      </c>
      <c r="N3" s="59" t="s">
        <v>97</v>
      </c>
      <c r="O3" s="59" t="s">
        <v>98</v>
      </c>
      <c r="P3" s="59" t="s">
        <v>99</v>
      </c>
      <c r="Q3" s="59" t="s">
        <v>100</v>
      </c>
      <c r="R3" s="59" t="s">
        <v>101</v>
      </c>
      <c r="S3" s="59" t="s">
        <v>16</v>
      </c>
      <c r="T3" s="59" t="s">
        <v>30</v>
      </c>
      <c r="U3" s="59" t="s">
        <v>31</v>
      </c>
      <c r="V3" s="59" t="s">
        <v>32</v>
      </c>
      <c r="W3" s="59" t="s">
        <v>33</v>
      </c>
      <c r="X3" s="59" t="s">
        <v>34</v>
      </c>
      <c r="Y3" s="59" t="s">
        <v>35</v>
      </c>
      <c r="Z3" s="59" t="s">
        <v>36</v>
      </c>
      <c r="AA3" s="59" t="s">
        <v>235</v>
      </c>
      <c r="AB3" s="59" t="s">
        <v>51</v>
      </c>
      <c r="AC3" s="55"/>
      <c r="AD3" s="56" t="s">
        <v>154</v>
      </c>
    </row>
    <row r="4" spans="1:30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102</v>
      </c>
      <c r="I4" s="34" t="s">
        <v>75</v>
      </c>
      <c r="J4" s="34" t="s">
        <v>76</v>
      </c>
      <c r="K4" s="34" t="s">
        <v>87</v>
      </c>
      <c r="L4" s="34" t="s">
        <v>103</v>
      </c>
      <c r="M4" s="34" t="s">
        <v>104</v>
      </c>
      <c r="N4" s="34" t="s">
        <v>105</v>
      </c>
      <c r="O4" s="34" t="s">
        <v>98</v>
      </c>
      <c r="P4" s="34" t="s">
        <v>106</v>
      </c>
      <c r="Q4" s="34" t="s">
        <v>107</v>
      </c>
      <c r="R4" s="34" t="s">
        <v>108</v>
      </c>
      <c r="S4" s="34" t="s">
        <v>16</v>
      </c>
      <c r="T4" s="34" t="s">
        <v>17</v>
      </c>
      <c r="U4" s="34" t="s">
        <v>18</v>
      </c>
      <c r="V4" s="34" t="s">
        <v>19</v>
      </c>
      <c r="W4" s="34" t="s">
        <v>219</v>
      </c>
      <c r="X4" s="34" t="s">
        <v>20</v>
      </c>
      <c r="Y4" s="34" t="s">
        <v>21</v>
      </c>
      <c r="Z4" s="34" t="s">
        <v>220</v>
      </c>
      <c r="AA4" s="34" t="s">
        <v>221</v>
      </c>
      <c r="AB4" s="34" t="s">
        <v>22</v>
      </c>
      <c r="AC4" s="19"/>
      <c r="AD4" s="33" t="s">
        <v>155</v>
      </c>
    </row>
    <row r="5" spans="1:30" ht="86.4" x14ac:dyDescent="0.45">
      <c r="A5" s="33" t="s">
        <v>142</v>
      </c>
      <c r="B5" s="33"/>
      <c r="C5" s="33"/>
      <c r="D5" s="33"/>
      <c r="E5" s="33"/>
      <c r="F5" s="33"/>
      <c r="G5" s="34" t="s">
        <v>157</v>
      </c>
      <c r="H5" s="34"/>
      <c r="I5" s="34"/>
      <c r="J5" s="34"/>
      <c r="K5" s="38" t="s">
        <v>279</v>
      </c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19"/>
      <c r="AD5" s="33" t="s">
        <v>156</v>
      </c>
    </row>
    <row r="6" spans="1:30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0"/>
      <c r="J6" s="20"/>
      <c r="K6" s="20"/>
      <c r="L6" s="25"/>
      <c r="M6" s="20"/>
      <c r="N6" s="20"/>
      <c r="O6" s="20"/>
      <c r="P6" s="20"/>
      <c r="Q6" s="20"/>
      <c r="R6" s="20"/>
      <c r="S6" s="25"/>
      <c r="T6" s="20"/>
      <c r="U6" s="20"/>
      <c r="V6" s="20"/>
      <c r="W6" s="20"/>
      <c r="X6" s="20"/>
      <c r="Y6" s="20"/>
      <c r="Z6" s="20"/>
      <c r="AA6" s="25"/>
      <c r="AB6" s="20"/>
      <c r="AC6" s="21"/>
      <c r="AD6" s="23"/>
    </row>
    <row r="7" spans="1:30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0"/>
      <c r="J7" s="20"/>
      <c r="K7" s="20"/>
      <c r="L7" s="25"/>
      <c r="M7" s="20"/>
      <c r="N7" s="20"/>
      <c r="O7" s="20"/>
      <c r="P7" s="20"/>
      <c r="Q7" s="20"/>
      <c r="R7" s="20"/>
      <c r="S7" s="25"/>
      <c r="T7" s="20"/>
      <c r="U7" s="20"/>
      <c r="V7" s="20"/>
      <c r="W7" s="20"/>
      <c r="X7" s="20"/>
      <c r="Y7" s="20"/>
      <c r="Z7" s="20"/>
      <c r="AA7" s="25"/>
      <c r="AB7" s="20"/>
      <c r="AC7" s="21"/>
      <c r="AD7" s="23"/>
    </row>
    <row r="8" spans="1:30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0"/>
      <c r="J8" s="20"/>
      <c r="K8" s="20"/>
      <c r="L8" s="25"/>
      <c r="M8" s="20"/>
      <c r="N8" s="20"/>
      <c r="O8" s="20"/>
      <c r="P8" s="20"/>
      <c r="Q8" s="20"/>
      <c r="R8" s="20"/>
      <c r="S8" s="25"/>
      <c r="T8" s="20"/>
      <c r="U8" s="20"/>
      <c r="V8" s="20"/>
      <c r="W8" s="20"/>
      <c r="X8" s="20"/>
      <c r="Y8" s="20"/>
      <c r="Z8" s="20"/>
      <c r="AA8" s="25"/>
      <c r="AB8" s="20"/>
      <c r="AC8" s="21"/>
      <c r="AD8" s="23"/>
    </row>
    <row r="9" spans="1:30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0"/>
      <c r="J9" s="20"/>
      <c r="K9" s="20"/>
      <c r="L9" s="25"/>
      <c r="M9" s="20"/>
      <c r="N9" s="20"/>
      <c r="O9" s="20"/>
      <c r="P9" s="20"/>
      <c r="Q9" s="20"/>
      <c r="R9" s="20"/>
      <c r="S9" s="25"/>
      <c r="T9" s="20"/>
      <c r="U9" s="20"/>
      <c r="V9" s="20"/>
      <c r="W9" s="20"/>
      <c r="X9" s="20"/>
      <c r="Y9" s="20"/>
      <c r="Z9" s="20"/>
      <c r="AA9" s="25"/>
      <c r="AB9" s="20"/>
      <c r="AC9" s="21"/>
      <c r="AD9" s="23"/>
    </row>
    <row r="10" spans="1:30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0"/>
      <c r="J10" s="20"/>
      <c r="K10" s="20"/>
      <c r="L10" s="25"/>
      <c r="M10" s="20"/>
      <c r="N10" s="20"/>
      <c r="O10" s="20"/>
      <c r="P10" s="20"/>
      <c r="Q10" s="20"/>
      <c r="R10" s="20"/>
      <c r="S10" s="25"/>
      <c r="T10" s="20"/>
      <c r="U10" s="20"/>
      <c r="V10" s="20"/>
      <c r="W10" s="20"/>
      <c r="X10" s="20"/>
      <c r="Y10" s="20"/>
      <c r="Z10" s="20"/>
      <c r="AA10" s="25"/>
      <c r="AB10" s="20"/>
      <c r="AC10" s="21"/>
      <c r="AD10" s="23"/>
    </row>
    <row r="11" spans="1:30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0"/>
      <c r="J11" s="20"/>
      <c r="K11" s="20"/>
      <c r="L11" s="25"/>
      <c r="M11" s="20"/>
      <c r="N11" s="20"/>
      <c r="O11" s="20"/>
      <c r="P11" s="20"/>
      <c r="Q11" s="20"/>
      <c r="R11" s="20"/>
      <c r="S11" s="25"/>
      <c r="T11" s="20"/>
      <c r="U11" s="20"/>
      <c r="V11" s="20"/>
      <c r="W11" s="20"/>
      <c r="X11" s="20"/>
      <c r="Y11" s="20"/>
      <c r="Z11" s="20"/>
      <c r="AA11" s="25"/>
      <c r="AB11" s="20"/>
      <c r="AC11" s="21"/>
      <c r="AD11" s="23"/>
    </row>
    <row r="12" spans="1:30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0"/>
      <c r="J12" s="20"/>
      <c r="K12" s="20"/>
      <c r="L12" s="25"/>
      <c r="M12" s="20"/>
      <c r="N12" s="20"/>
      <c r="O12" s="20"/>
      <c r="P12" s="20"/>
      <c r="Q12" s="20"/>
      <c r="R12" s="20"/>
      <c r="S12" s="25"/>
      <c r="T12" s="20"/>
      <c r="U12" s="20"/>
      <c r="V12" s="20"/>
      <c r="W12" s="20"/>
      <c r="X12" s="20"/>
      <c r="Y12" s="20"/>
      <c r="Z12" s="20"/>
      <c r="AA12" s="25"/>
      <c r="AB12" s="20"/>
      <c r="AC12" s="21"/>
      <c r="AD12" s="23"/>
    </row>
    <row r="13" spans="1:30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0"/>
      <c r="J13" s="20"/>
      <c r="K13" s="20"/>
      <c r="L13" s="25"/>
      <c r="M13" s="20"/>
      <c r="N13" s="20"/>
      <c r="O13" s="20"/>
      <c r="P13" s="20"/>
      <c r="Q13" s="20"/>
      <c r="R13" s="20"/>
      <c r="S13" s="25"/>
      <c r="T13" s="20"/>
      <c r="U13" s="20"/>
      <c r="V13" s="20"/>
      <c r="W13" s="20"/>
      <c r="X13" s="20"/>
      <c r="Y13" s="20"/>
      <c r="Z13" s="20"/>
      <c r="AA13" s="25"/>
      <c r="AB13" s="20"/>
      <c r="AC13" s="21"/>
      <c r="AD13" s="23"/>
    </row>
    <row r="14" spans="1:30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0"/>
      <c r="J14" s="20"/>
      <c r="K14" s="20"/>
      <c r="L14" s="25"/>
      <c r="M14" s="20"/>
      <c r="N14" s="20"/>
      <c r="O14" s="20"/>
      <c r="P14" s="20"/>
      <c r="Q14" s="20"/>
      <c r="R14" s="20"/>
      <c r="S14" s="25"/>
      <c r="T14" s="20"/>
      <c r="U14" s="20"/>
      <c r="V14" s="20"/>
      <c r="W14" s="20"/>
      <c r="X14" s="20"/>
      <c r="Y14" s="20"/>
      <c r="Z14" s="20"/>
      <c r="AA14" s="25"/>
      <c r="AB14" s="20"/>
      <c r="AC14" s="21"/>
      <c r="AD14" s="23"/>
    </row>
    <row r="15" spans="1:30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0"/>
      <c r="J15" s="20"/>
      <c r="K15" s="20"/>
      <c r="L15" s="25"/>
      <c r="M15" s="20"/>
      <c r="N15" s="20"/>
      <c r="O15" s="20"/>
      <c r="P15" s="20"/>
      <c r="Q15" s="20"/>
      <c r="R15" s="20"/>
      <c r="S15" s="25"/>
      <c r="T15" s="20"/>
      <c r="U15" s="20"/>
      <c r="V15" s="20"/>
      <c r="W15" s="20"/>
      <c r="X15" s="20"/>
      <c r="Y15" s="20"/>
      <c r="Z15" s="20"/>
      <c r="AA15" s="25"/>
      <c r="AB15" s="20"/>
      <c r="AC15" s="21"/>
      <c r="AD15" s="23"/>
    </row>
  </sheetData>
  <phoneticPr fontId="6"/>
  <conditionalFormatting sqref="G6:G1000">
    <cfRule type="expression" dxfId="7" priority="1">
      <formula>AND($G6="", COUNTA($I6:$AB6)&gt;0)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AB03-2893-49F5-8208-EC3C813A5019}">
  <sheetPr codeName="Sheet7"/>
  <dimension ref="A1:Y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23" width="27.3984375" style="19" customWidth="1"/>
    <col min="24" max="24" width="2.59765625" style="21" customWidth="1"/>
    <col min="25" max="25" width="27.3984375" style="21" customWidth="1"/>
    <col min="26" max="16384" width="9" style="19"/>
  </cols>
  <sheetData>
    <row r="1" spans="1:25" ht="24.6" x14ac:dyDescent="0.45">
      <c r="A1" s="43" t="s">
        <v>109</v>
      </c>
      <c r="B1" s="45" t="s">
        <v>199</v>
      </c>
      <c r="C1" s="43"/>
      <c r="D1" s="43"/>
      <c r="E1" s="43"/>
      <c r="F1" s="43"/>
      <c r="G1" s="45"/>
    </row>
    <row r="2" spans="1:25" x14ac:dyDescent="0.45">
      <c r="T2" s="46"/>
    </row>
    <row r="3" spans="1:25" s="52" customFormat="1" ht="30" customHeight="1" x14ac:dyDescent="0.45">
      <c r="A3" s="48" t="s">
        <v>143</v>
      </c>
      <c r="B3" s="48" t="s">
        <v>188</v>
      </c>
      <c r="C3" s="48" t="s">
        <v>189</v>
      </c>
      <c r="D3" s="48" t="s">
        <v>190</v>
      </c>
      <c r="E3" s="48" t="s">
        <v>191</v>
      </c>
      <c r="F3" s="48" t="s">
        <v>233</v>
      </c>
      <c r="G3" s="48" t="s">
        <v>40</v>
      </c>
      <c r="H3" s="48" t="s">
        <v>238</v>
      </c>
      <c r="I3" s="48" t="s">
        <v>264</v>
      </c>
      <c r="J3" s="48" t="s">
        <v>265</v>
      </c>
      <c r="K3" s="48" t="s">
        <v>266</v>
      </c>
      <c r="L3" s="48" t="s">
        <v>268</v>
      </c>
      <c r="M3" s="48" t="s">
        <v>95</v>
      </c>
      <c r="N3" s="48" t="s">
        <v>45</v>
      </c>
      <c r="O3" s="48" t="s">
        <v>46</v>
      </c>
      <c r="P3" s="48" t="s">
        <v>50</v>
      </c>
      <c r="Q3" s="48" t="s">
        <v>110</v>
      </c>
      <c r="R3" s="48" t="s">
        <v>111</v>
      </c>
      <c r="S3" s="48" t="s">
        <v>112</v>
      </c>
      <c r="T3" s="48" t="s">
        <v>257</v>
      </c>
      <c r="U3" s="48" t="s">
        <v>116</v>
      </c>
      <c r="V3" s="48" t="s">
        <v>235</v>
      </c>
      <c r="W3" s="48" t="s">
        <v>51</v>
      </c>
      <c r="X3" s="55"/>
      <c r="Y3" s="56" t="s">
        <v>154</v>
      </c>
    </row>
    <row r="4" spans="1:25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52</v>
      </c>
      <c r="I4" s="34" t="s">
        <v>72</v>
      </c>
      <c r="J4" s="34" t="s">
        <v>73</v>
      </c>
      <c r="K4" s="34" t="s">
        <v>74</v>
      </c>
      <c r="L4" s="34" t="s">
        <v>267</v>
      </c>
      <c r="M4" s="34" t="s">
        <v>75</v>
      </c>
      <c r="N4" s="34" t="s">
        <v>76</v>
      </c>
      <c r="O4" s="34" t="s">
        <v>87</v>
      </c>
      <c r="P4" s="34" t="s">
        <v>61</v>
      </c>
      <c r="Q4" s="34" t="s">
        <v>113</v>
      </c>
      <c r="R4" s="34" t="s">
        <v>114</v>
      </c>
      <c r="S4" s="34" t="s">
        <v>115</v>
      </c>
      <c r="T4" s="38" t="s">
        <v>256</v>
      </c>
      <c r="U4" s="34" t="s">
        <v>116</v>
      </c>
      <c r="V4" s="34" t="s">
        <v>221</v>
      </c>
      <c r="W4" s="34" t="s">
        <v>22</v>
      </c>
      <c r="X4" s="19"/>
      <c r="Y4" s="33" t="s">
        <v>155</v>
      </c>
    </row>
    <row r="5" spans="1:25" ht="86.4" x14ac:dyDescent="0.45">
      <c r="A5" s="33" t="s">
        <v>142</v>
      </c>
      <c r="B5" s="33"/>
      <c r="C5" s="33"/>
      <c r="D5" s="33"/>
      <c r="E5" s="33"/>
      <c r="F5" s="33"/>
      <c r="G5" s="34" t="s">
        <v>146</v>
      </c>
      <c r="H5" s="34" t="s">
        <v>239</v>
      </c>
      <c r="I5" s="35" t="s">
        <v>159</v>
      </c>
      <c r="J5" s="35" t="s">
        <v>158</v>
      </c>
      <c r="K5" s="35" t="s">
        <v>159</v>
      </c>
      <c r="L5" s="34"/>
      <c r="M5" s="34"/>
      <c r="N5" s="34"/>
      <c r="O5" s="38" t="s">
        <v>279</v>
      </c>
      <c r="P5" s="34"/>
      <c r="Q5" s="34"/>
      <c r="R5" s="34"/>
      <c r="S5" s="34"/>
      <c r="T5" s="34"/>
      <c r="U5" s="34"/>
      <c r="V5" s="34"/>
      <c r="W5" s="34"/>
      <c r="X5" s="19"/>
      <c r="Y5" s="33" t="s">
        <v>156</v>
      </c>
    </row>
    <row r="6" spans="1:25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0"/>
      <c r="J6" s="20"/>
      <c r="K6" s="20"/>
      <c r="L6" s="25"/>
      <c r="M6" s="20"/>
      <c r="N6" s="20"/>
      <c r="O6" s="20"/>
      <c r="P6" s="20"/>
      <c r="Q6" s="20"/>
      <c r="R6" s="20"/>
      <c r="S6" s="20"/>
      <c r="T6" s="25"/>
      <c r="U6" s="25"/>
      <c r="V6" s="25"/>
      <c r="W6" s="20"/>
      <c r="X6" s="21"/>
      <c r="Y6" s="23"/>
    </row>
    <row r="7" spans="1:25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0"/>
      <c r="J7" s="20"/>
      <c r="K7" s="20"/>
      <c r="L7" s="25"/>
      <c r="M7" s="20"/>
      <c r="N7" s="20"/>
      <c r="O7" s="20"/>
      <c r="P7" s="20"/>
      <c r="Q7" s="20"/>
      <c r="R7" s="20"/>
      <c r="S7" s="20"/>
      <c r="T7" s="25"/>
      <c r="U7" s="25"/>
      <c r="V7" s="25"/>
      <c r="W7" s="20"/>
      <c r="X7" s="21"/>
      <c r="Y7" s="23"/>
    </row>
    <row r="8" spans="1:25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0"/>
      <c r="J8" s="20"/>
      <c r="K8" s="20"/>
      <c r="L8" s="25"/>
      <c r="M8" s="20"/>
      <c r="N8" s="20"/>
      <c r="O8" s="20"/>
      <c r="P8" s="20"/>
      <c r="Q8" s="20"/>
      <c r="R8" s="20"/>
      <c r="S8" s="20"/>
      <c r="T8" s="25"/>
      <c r="U8" s="25"/>
      <c r="V8" s="25"/>
      <c r="W8" s="20"/>
      <c r="X8" s="21"/>
      <c r="Y8" s="23"/>
    </row>
    <row r="9" spans="1:25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0"/>
      <c r="J9" s="20"/>
      <c r="K9" s="20"/>
      <c r="L9" s="25"/>
      <c r="M9" s="20"/>
      <c r="N9" s="20"/>
      <c r="O9" s="20"/>
      <c r="P9" s="20"/>
      <c r="Q9" s="20"/>
      <c r="R9" s="20"/>
      <c r="S9" s="20"/>
      <c r="T9" s="25"/>
      <c r="U9" s="25"/>
      <c r="V9" s="25"/>
      <c r="W9" s="20"/>
      <c r="X9" s="21"/>
      <c r="Y9" s="23"/>
    </row>
    <row r="10" spans="1:25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0"/>
      <c r="J10" s="20"/>
      <c r="K10" s="20"/>
      <c r="L10" s="25"/>
      <c r="M10" s="20"/>
      <c r="N10" s="20"/>
      <c r="O10" s="20"/>
      <c r="P10" s="20"/>
      <c r="Q10" s="20"/>
      <c r="R10" s="20"/>
      <c r="S10" s="20"/>
      <c r="T10" s="25"/>
      <c r="U10" s="25"/>
      <c r="V10" s="25"/>
      <c r="W10" s="20"/>
      <c r="X10" s="21"/>
      <c r="Y10" s="23"/>
    </row>
    <row r="11" spans="1:25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0"/>
      <c r="J11" s="20"/>
      <c r="K11" s="20"/>
      <c r="L11" s="25"/>
      <c r="M11" s="20"/>
      <c r="N11" s="20"/>
      <c r="O11" s="20"/>
      <c r="P11" s="20"/>
      <c r="Q11" s="20"/>
      <c r="R11" s="20"/>
      <c r="S11" s="20"/>
      <c r="T11" s="25"/>
      <c r="U11" s="25"/>
      <c r="V11" s="25"/>
      <c r="W11" s="20"/>
      <c r="X11" s="21"/>
      <c r="Y11" s="23"/>
    </row>
    <row r="12" spans="1:25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0"/>
      <c r="J12" s="20"/>
      <c r="K12" s="20"/>
      <c r="L12" s="25"/>
      <c r="M12" s="20"/>
      <c r="N12" s="20"/>
      <c r="O12" s="20"/>
      <c r="P12" s="20"/>
      <c r="Q12" s="20"/>
      <c r="R12" s="20"/>
      <c r="S12" s="20"/>
      <c r="T12" s="25"/>
      <c r="U12" s="25"/>
      <c r="V12" s="25"/>
      <c r="W12" s="20"/>
      <c r="X12" s="21"/>
      <c r="Y12" s="23"/>
    </row>
    <row r="13" spans="1:25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0"/>
      <c r="J13" s="20"/>
      <c r="K13" s="20"/>
      <c r="L13" s="25"/>
      <c r="M13" s="20"/>
      <c r="N13" s="20"/>
      <c r="O13" s="20"/>
      <c r="P13" s="20"/>
      <c r="Q13" s="20"/>
      <c r="R13" s="20"/>
      <c r="S13" s="20"/>
      <c r="T13" s="25"/>
      <c r="U13" s="25"/>
      <c r="V13" s="25"/>
      <c r="W13" s="20"/>
      <c r="X13" s="21"/>
      <c r="Y13" s="23"/>
    </row>
    <row r="14" spans="1:25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0"/>
      <c r="J14" s="20"/>
      <c r="K14" s="20"/>
      <c r="L14" s="25"/>
      <c r="M14" s="20"/>
      <c r="N14" s="20"/>
      <c r="O14" s="20"/>
      <c r="P14" s="20"/>
      <c r="Q14" s="20"/>
      <c r="R14" s="20"/>
      <c r="S14" s="20"/>
      <c r="T14" s="25"/>
      <c r="U14" s="25"/>
      <c r="V14" s="25"/>
      <c r="W14" s="20"/>
      <c r="X14" s="21"/>
      <c r="Y14" s="23"/>
    </row>
    <row r="15" spans="1:25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0"/>
      <c r="J15" s="20"/>
      <c r="K15" s="20"/>
      <c r="L15" s="25"/>
      <c r="M15" s="20"/>
      <c r="N15" s="20"/>
      <c r="O15" s="20"/>
      <c r="P15" s="20"/>
      <c r="Q15" s="20"/>
      <c r="R15" s="20"/>
      <c r="S15" s="20"/>
      <c r="T15" s="25"/>
      <c r="U15" s="25"/>
      <c r="V15" s="25"/>
      <c r="W15" s="20"/>
      <c r="X15" s="21"/>
      <c r="Y15" s="23"/>
    </row>
  </sheetData>
  <phoneticPr fontId="6"/>
  <conditionalFormatting sqref="G6:G1000">
    <cfRule type="expression" dxfId="6" priority="1">
      <formula>AND($G6="", COUNTA($I6:$W6)&gt;0)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D1B0-2762-4D14-9AA3-450652819302}">
  <sheetPr codeName="Sheet13"/>
  <dimension ref="A1:Z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8" width="22.3984375" style="19" customWidth="1"/>
    <col min="9" max="9" width="30.19921875" style="19" customWidth="1"/>
    <col min="10" max="24" width="27.3984375" style="19" customWidth="1"/>
    <col min="25" max="25" width="2.59765625" style="21" customWidth="1"/>
    <col min="26" max="26" width="27.3984375" style="21" customWidth="1"/>
    <col min="27" max="16384" width="9" style="19"/>
  </cols>
  <sheetData>
    <row r="1" spans="1:26" ht="24.6" x14ac:dyDescent="0.45">
      <c r="A1" s="43" t="s">
        <v>192</v>
      </c>
      <c r="B1" s="45" t="s">
        <v>199</v>
      </c>
      <c r="C1" s="43"/>
      <c r="D1" s="43"/>
      <c r="E1" s="43"/>
      <c r="F1" s="43"/>
      <c r="G1" s="45"/>
      <c r="H1" s="45"/>
    </row>
    <row r="2" spans="1:26" x14ac:dyDescent="0.45">
      <c r="U2" s="47"/>
    </row>
    <row r="3" spans="1:26" s="32" customFormat="1" ht="30" customHeight="1" x14ac:dyDescent="0.45">
      <c r="A3" s="49" t="s">
        <v>39</v>
      </c>
      <c r="B3" s="49" t="s">
        <v>188</v>
      </c>
      <c r="C3" s="49" t="s">
        <v>189</v>
      </c>
      <c r="D3" s="49" t="s">
        <v>190</v>
      </c>
      <c r="E3" s="49" t="s">
        <v>191</v>
      </c>
      <c r="F3" s="49" t="s">
        <v>233</v>
      </c>
      <c r="G3" s="49" t="s">
        <v>40</v>
      </c>
      <c r="H3" s="49" t="s">
        <v>258</v>
      </c>
      <c r="I3" s="50" t="s">
        <v>238</v>
      </c>
      <c r="J3" s="50" t="s">
        <v>259</v>
      </c>
      <c r="K3" s="50" t="s">
        <v>260</v>
      </c>
      <c r="L3" s="50" t="s">
        <v>261</v>
      </c>
      <c r="M3" s="50" t="s">
        <v>263</v>
      </c>
      <c r="N3" s="50" t="s">
        <v>95</v>
      </c>
      <c r="O3" s="50" t="s">
        <v>45</v>
      </c>
      <c r="P3" s="50" t="s">
        <v>46</v>
      </c>
      <c r="Q3" s="50" t="s">
        <v>50</v>
      </c>
      <c r="R3" s="50" t="s">
        <v>110</v>
      </c>
      <c r="S3" s="50" t="s">
        <v>111</v>
      </c>
      <c r="T3" s="50" t="s">
        <v>112</v>
      </c>
      <c r="U3" s="49" t="s">
        <v>257</v>
      </c>
      <c r="V3" s="50" t="s">
        <v>116</v>
      </c>
      <c r="W3" s="50" t="s">
        <v>235</v>
      </c>
      <c r="X3" s="50" t="s">
        <v>51</v>
      </c>
      <c r="Y3" s="36"/>
      <c r="Z3" s="37" t="s">
        <v>154</v>
      </c>
    </row>
    <row r="4" spans="1:26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8" t="s">
        <v>128</v>
      </c>
      <c r="I4" s="34" t="s">
        <v>52</v>
      </c>
      <c r="J4" s="34" t="s">
        <v>72</v>
      </c>
      <c r="K4" s="34" t="s">
        <v>73</v>
      </c>
      <c r="L4" s="34" t="s">
        <v>74</v>
      </c>
      <c r="M4" s="34" t="s">
        <v>262</v>
      </c>
      <c r="N4" s="34" t="s">
        <v>75</v>
      </c>
      <c r="O4" s="34" t="s">
        <v>76</v>
      </c>
      <c r="P4" s="34" t="s">
        <v>87</v>
      </c>
      <c r="Q4" s="34" t="s">
        <v>61</v>
      </c>
      <c r="R4" s="34" t="s">
        <v>193</v>
      </c>
      <c r="S4" s="34" t="s">
        <v>194</v>
      </c>
      <c r="T4" s="34" t="s">
        <v>195</v>
      </c>
      <c r="U4" s="38" t="s">
        <v>183</v>
      </c>
      <c r="V4" s="34" t="s">
        <v>116</v>
      </c>
      <c r="W4" s="34" t="s">
        <v>221</v>
      </c>
      <c r="X4" s="34" t="s">
        <v>22</v>
      </c>
      <c r="Y4" s="19"/>
      <c r="Z4" s="33" t="s">
        <v>155</v>
      </c>
    </row>
    <row r="5" spans="1:26" ht="86.4" x14ac:dyDescent="0.45">
      <c r="A5" s="33" t="s">
        <v>142</v>
      </c>
      <c r="B5" s="33"/>
      <c r="C5" s="33"/>
      <c r="D5" s="33"/>
      <c r="E5" s="33"/>
      <c r="F5" s="33"/>
      <c r="G5" s="34" t="s">
        <v>196</v>
      </c>
      <c r="H5" s="34"/>
      <c r="I5" s="34" t="s">
        <v>270</v>
      </c>
      <c r="J5" s="35" t="s">
        <v>204</v>
      </c>
      <c r="K5" s="35" t="s">
        <v>286</v>
      </c>
      <c r="L5" s="35" t="s">
        <v>204</v>
      </c>
      <c r="M5" s="34"/>
      <c r="N5" s="34"/>
      <c r="O5" s="34"/>
      <c r="P5" s="38" t="s">
        <v>279</v>
      </c>
      <c r="Q5" s="34"/>
      <c r="R5" s="34"/>
      <c r="S5" s="34"/>
      <c r="T5" s="34"/>
      <c r="U5" s="34"/>
      <c r="V5" s="34"/>
      <c r="W5" s="34"/>
      <c r="X5" s="34"/>
      <c r="Y5" s="19"/>
      <c r="Z5" s="33" t="s">
        <v>156</v>
      </c>
    </row>
    <row r="6" spans="1:26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0"/>
      <c r="I6" s="25"/>
      <c r="J6" s="20"/>
      <c r="K6" s="20"/>
      <c r="L6" s="20"/>
      <c r="M6" s="25"/>
      <c r="N6" s="20"/>
      <c r="O6" s="20"/>
      <c r="P6" s="20"/>
      <c r="Q6" s="20"/>
      <c r="R6" s="20"/>
      <c r="S6" s="20"/>
      <c r="T6" s="20"/>
      <c r="U6" s="25"/>
      <c r="V6" s="25"/>
      <c r="W6" s="25"/>
      <c r="X6" s="20"/>
      <c r="Y6" s="21"/>
      <c r="Z6" s="23"/>
    </row>
    <row r="7" spans="1:26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0"/>
      <c r="I7" s="25"/>
      <c r="J7" s="20"/>
      <c r="K7" s="20"/>
      <c r="L7" s="20"/>
      <c r="M7" s="25"/>
      <c r="N7" s="20"/>
      <c r="O7" s="20"/>
      <c r="P7" s="20"/>
      <c r="Q7" s="20"/>
      <c r="R7" s="20"/>
      <c r="S7" s="20"/>
      <c r="T7" s="20"/>
      <c r="U7" s="25"/>
      <c r="V7" s="25"/>
      <c r="W7" s="25"/>
      <c r="X7" s="20"/>
      <c r="Y7" s="21"/>
      <c r="Z7" s="23"/>
    </row>
    <row r="8" spans="1:26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0"/>
      <c r="I8" s="25"/>
      <c r="J8" s="20"/>
      <c r="K8" s="20"/>
      <c r="L8" s="20"/>
      <c r="M8" s="25"/>
      <c r="N8" s="20"/>
      <c r="O8" s="20"/>
      <c r="P8" s="20"/>
      <c r="Q8" s="20"/>
      <c r="R8" s="20"/>
      <c r="S8" s="20"/>
      <c r="T8" s="20"/>
      <c r="U8" s="25"/>
      <c r="V8" s="25"/>
      <c r="W8" s="25"/>
      <c r="X8" s="20"/>
      <c r="Y8" s="21"/>
      <c r="Z8" s="23"/>
    </row>
    <row r="9" spans="1:26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0"/>
      <c r="I9" s="25"/>
      <c r="J9" s="20"/>
      <c r="K9" s="20"/>
      <c r="L9" s="20"/>
      <c r="M9" s="25"/>
      <c r="N9" s="20"/>
      <c r="O9" s="20"/>
      <c r="P9" s="20"/>
      <c r="Q9" s="20"/>
      <c r="R9" s="20"/>
      <c r="S9" s="20"/>
      <c r="T9" s="20"/>
      <c r="U9" s="25"/>
      <c r="V9" s="25"/>
      <c r="W9" s="25"/>
      <c r="X9" s="20"/>
      <c r="Y9" s="21"/>
      <c r="Z9" s="23"/>
    </row>
    <row r="10" spans="1:26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0"/>
      <c r="I10" s="25"/>
      <c r="J10" s="20"/>
      <c r="K10" s="20"/>
      <c r="L10" s="20"/>
      <c r="M10" s="25"/>
      <c r="N10" s="20"/>
      <c r="O10" s="20"/>
      <c r="P10" s="20"/>
      <c r="Q10" s="20"/>
      <c r="R10" s="20"/>
      <c r="S10" s="20"/>
      <c r="T10" s="20"/>
      <c r="U10" s="25"/>
      <c r="V10" s="25"/>
      <c r="W10" s="25"/>
      <c r="X10" s="20"/>
      <c r="Y10" s="21"/>
      <c r="Z10" s="23"/>
    </row>
    <row r="11" spans="1:26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0"/>
      <c r="I11" s="25"/>
      <c r="J11" s="20"/>
      <c r="K11" s="20"/>
      <c r="L11" s="20"/>
      <c r="M11" s="25"/>
      <c r="N11" s="20"/>
      <c r="O11" s="20"/>
      <c r="P11" s="20"/>
      <c r="Q11" s="20"/>
      <c r="R11" s="20"/>
      <c r="S11" s="20"/>
      <c r="T11" s="20"/>
      <c r="U11" s="25"/>
      <c r="V11" s="25"/>
      <c r="W11" s="25"/>
      <c r="X11" s="20"/>
      <c r="Y11" s="21"/>
      <c r="Z11" s="23"/>
    </row>
    <row r="12" spans="1:26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0"/>
      <c r="I12" s="25"/>
      <c r="J12" s="20"/>
      <c r="K12" s="20"/>
      <c r="L12" s="20"/>
      <c r="M12" s="25"/>
      <c r="N12" s="20"/>
      <c r="O12" s="20"/>
      <c r="P12" s="20"/>
      <c r="Q12" s="20"/>
      <c r="R12" s="20"/>
      <c r="S12" s="20"/>
      <c r="T12" s="20"/>
      <c r="U12" s="25"/>
      <c r="V12" s="25"/>
      <c r="W12" s="25"/>
      <c r="X12" s="20"/>
      <c r="Y12" s="21"/>
      <c r="Z12" s="23"/>
    </row>
    <row r="13" spans="1:26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0"/>
      <c r="I13" s="25"/>
      <c r="J13" s="20"/>
      <c r="K13" s="20"/>
      <c r="L13" s="20"/>
      <c r="M13" s="25"/>
      <c r="N13" s="20"/>
      <c r="O13" s="20"/>
      <c r="P13" s="20"/>
      <c r="Q13" s="20"/>
      <c r="R13" s="20"/>
      <c r="S13" s="20"/>
      <c r="T13" s="20"/>
      <c r="U13" s="25"/>
      <c r="V13" s="25"/>
      <c r="W13" s="25"/>
      <c r="X13" s="20"/>
      <c r="Y13" s="21"/>
      <c r="Z13" s="23"/>
    </row>
    <row r="14" spans="1:26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0"/>
      <c r="I14" s="25"/>
      <c r="J14" s="20"/>
      <c r="K14" s="20"/>
      <c r="L14" s="20"/>
      <c r="M14" s="25"/>
      <c r="N14" s="20"/>
      <c r="O14" s="20"/>
      <c r="P14" s="20"/>
      <c r="Q14" s="20"/>
      <c r="R14" s="20"/>
      <c r="S14" s="20"/>
      <c r="T14" s="20"/>
      <c r="U14" s="25"/>
      <c r="V14" s="25"/>
      <c r="W14" s="25"/>
      <c r="X14" s="20"/>
      <c r="Y14" s="21"/>
      <c r="Z14" s="23"/>
    </row>
    <row r="15" spans="1:26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0"/>
      <c r="I15" s="25"/>
      <c r="J15" s="20"/>
      <c r="K15" s="20"/>
      <c r="L15" s="20"/>
      <c r="M15" s="25"/>
      <c r="N15" s="20"/>
      <c r="O15" s="20"/>
      <c r="P15" s="20"/>
      <c r="Q15" s="20"/>
      <c r="R15" s="20"/>
      <c r="S15" s="20"/>
      <c r="T15" s="20"/>
      <c r="U15" s="25"/>
      <c r="V15" s="25"/>
      <c r="W15" s="25"/>
      <c r="X15" s="20"/>
      <c r="Y15" s="21"/>
      <c r="Z15" s="23"/>
    </row>
  </sheetData>
  <phoneticPr fontId="6"/>
  <conditionalFormatting sqref="G6:G1000">
    <cfRule type="expression" dxfId="5" priority="1">
      <formula>AND($G6="", COUNTA($H6:$X6)&gt;0)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FCA-1E38-43E7-9BD9-0ECDEE03F8DA}">
  <sheetPr codeName="Sheet8"/>
  <dimension ref="A1:S15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17" width="27.3984375" style="19" customWidth="1"/>
    <col min="18" max="18" width="2.59765625" style="21" customWidth="1"/>
    <col min="19" max="19" width="27.3984375" style="21" customWidth="1"/>
    <col min="20" max="16384" width="9" style="19"/>
  </cols>
  <sheetData>
    <row r="1" spans="1:19" ht="24.6" x14ac:dyDescent="0.45">
      <c r="A1" s="43" t="s">
        <v>162</v>
      </c>
      <c r="B1" s="43"/>
      <c r="C1" s="45" t="s">
        <v>199</v>
      </c>
      <c r="D1" s="43"/>
      <c r="E1" s="43"/>
      <c r="F1" s="43"/>
      <c r="H1" s="45"/>
    </row>
    <row r="2" spans="1:19" x14ac:dyDescent="0.45">
      <c r="N2" s="46"/>
      <c r="Q2" s="21"/>
      <c r="S2" s="19"/>
    </row>
    <row r="3" spans="1:19" s="32" customFormat="1" ht="30" customHeight="1" x14ac:dyDescent="0.45">
      <c r="A3" s="40" t="s">
        <v>143</v>
      </c>
      <c r="B3" s="60" t="s">
        <v>188</v>
      </c>
      <c r="C3" s="60" t="s">
        <v>189</v>
      </c>
      <c r="D3" s="60" t="s">
        <v>190</v>
      </c>
      <c r="E3" s="60" t="s">
        <v>191</v>
      </c>
      <c r="F3" s="60" t="s">
        <v>234</v>
      </c>
      <c r="G3" s="40" t="s">
        <v>40</v>
      </c>
      <c r="H3" s="40" t="s">
        <v>163</v>
      </c>
      <c r="I3" s="40" t="s">
        <v>45</v>
      </c>
      <c r="J3" s="40" t="s">
        <v>46</v>
      </c>
      <c r="K3" s="40" t="s">
        <v>110</v>
      </c>
      <c r="L3" s="40" t="s">
        <v>111</v>
      </c>
      <c r="M3" s="40" t="s">
        <v>112</v>
      </c>
      <c r="N3" s="60" t="s">
        <v>185</v>
      </c>
      <c r="O3" s="40" t="s">
        <v>16</v>
      </c>
      <c r="P3" s="40" t="s">
        <v>235</v>
      </c>
      <c r="Q3" s="40" t="s">
        <v>51</v>
      </c>
      <c r="R3" s="36"/>
      <c r="S3" s="37" t="s">
        <v>154</v>
      </c>
    </row>
    <row r="4" spans="1:19" ht="43.2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75</v>
      </c>
      <c r="I4" s="34" t="s">
        <v>76</v>
      </c>
      <c r="J4" s="34" t="s">
        <v>87</v>
      </c>
      <c r="K4" s="34" t="s">
        <v>224</v>
      </c>
      <c r="L4" s="34" t="s">
        <v>225</v>
      </c>
      <c r="M4" s="34" t="s">
        <v>226</v>
      </c>
      <c r="N4" s="38" t="s">
        <v>184</v>
      </c>
      <c r="O4" s="34" t="s">
        <v>16</v>
      </c>
      <c r="P4" s="34" t="s">
        <v>221</v>
      </c>
      <c r="Q4" s="34" t="s">
        <v>22</v>
      </c>
      <c r="R4" s="19"/>
      <c r="S4" s="33" t="s">
        <v>155</v>
      </c>
    </row>
    <row r="5" spans="1:19" ht="57.6" x14ac:dyDescent="0.45">
      <c r="A5" s="33" t="s">
        <v>142</v>
      </c>
      <c r="B5" s="33"/>
      <c r="C5" s="33"/>
      <c r="D5" s="33"/>
      <c r="E5" s="33"/>
      <c r="F5" s="33"/>
      <c r="G5" s="34" t="s">
        <v>164</v>
      </c>
      <c r="H5" s="34"/>
      <c r="I5" s="34"/>
      <c r="J5" s="34" t="s">
        <v>273</v>
      </c>
      <c r="K5" s="38"/>
      <c r="L5" s="34"/>
      <c r="M5" s="34"/>
      <c r="N5" s="34"/>
      <c r="O5" s="34"/>
      <c r="P5" s="34"/>
      <c r="Q5" s="34"/>
      <c r="R5" s="19"/>
      <c r="S5" s="33" t="s">
        <v>156</v>
      </c>
    </row>
    <row r="6" spans="1:19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0"/>
      <c r="I6" s="20"/>
      <c r="J6" s="20"/>
      <c r="K6" s="20"/>
      <c r="L6" s="20"/>
      <c r="M6" s="20"/>
      <c r="N6" s="20"/>
      <c r="O6" s="25"/>
      <c r="P6" s="25"/>
      <c r="Q6" s="20"/>
      <c r="R6" s="21"/>
      <c r="S6" s="23"/>
    </row>
    <row r="7" spans="1:19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0"/>
      <c r="I7" s="20"/>
      <c r="J7" s="20"/>
      <c r="K7" s="20"/>
      <c r="L7" s="20"/>
      <c r="M7" s="20"/>
      <c r="N7" s="20"/>
      <c r="O7" s="25"/>
      <c r="P7" s="25"/>
      <c r="Q7" s="20"/>
      <c r="R7" s="21"/>
      <c r="S7" s="23"/>
    </row>
    <row r="8" spans="1:19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0"/>
      <c r="I8" s="20"/>
      <c r="J8" s="20"/>
      <c r="K8" s="20"/>
      <c r="L8" s="20"/>
      <c r="M8" s="20"/>
      <c r="N8" s="20"/>
      <c r="O8" s="25"/>
      <c r="P8" s="25"/>
      <c r="Q8" s="20"/>
      <c r="R8" s="21"/>
      <c r="S8" s="23"/>
    </row>
    <row r="9" spans="1:19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0"/>
      <c r="I9" s="20"/>
      <c r="J9" s="20"/>
      <c r="K9" s="20"/>
      <c r="L9" s="20"/>
      <c r="M9" s="20"/>
      <c r="N9" s="20"/>
      <c r="O9" s="25"/>
      <c r="P9" s="25"/>
      <c r="Q9" s="20"/>
      <c r="R9" s="21"/>
      <c r="S9" s="23"/>
    </row>
    <row r="10" spans="1:19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0"/>
      <c r="I10" s="20"/>
      <c r="J10" s="20"/>
      <c r="K10" s="20"/>
      <c r="L10" s="20"/>
      <c r="M10" s="20"/>
      <c r="N10" s="20"/>
      <c r="O10" s="25"/>
      <c r="P10" s="25"/>
      <c r="Q10" s="20"/>
      <c r="R10" s="21"/>
      <c r="S10" s="23"/>
    </row>
    <row r="11" spans="1:19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0"/>
      <c r="I11" s="20"/>
      <c r="J11" s="20"/>
      <c r="K11" s="20"/>
      <c r="L11" s="20"/>
      <c r="M11" s="20"/>
      <c r="N11" s="20"/>
      <c r="O11" s="25"/>
      <c r="P11" s="25"/>
      <c r="Q11" s="20"/>
      <c r="R11" s="21"/>
      <c r="S11" s="23"/>
    </row>
    <row r="12" spans="1:19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0"/>
      <c r="I12" s="20"/>
      <c r="J12" s="20"/>
      <c r="K12" s="20"/>
      <c r="L12" s="20"/>
      <c r="M12" s="20"/>
      <c r="N12" s="20"/>
      <c r="O12" s="25"/>
      <c r="P12" s="25"/>
      <c r="Q12" s="20"/>
      <c r="R12" s="21"/>
      <c r="S12" s="23"/>
    </row>
    <row r="13" spans="1:19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0"/>
      <c r="I13" s="20"/>
      <c r="J13" s="20"/>
      <c r="K13" s="20"/>
      <c r="L13" s="20"/>
      <c r="M13" s="20"/>
      <c r="N13" s="20"/>
      <c r="O13" s="25"/>
      <c r="P13" s="25"/>
      <c r="Q13" s="20"/>
      <c r="R13" s="21"/>
      <c r="S13" s="23"/>
    </row>
    <row r="14" spans="1:19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0"/>
      <c r="I14" s="20"/>
      <c r="J14" s="20"/>
      <c r="K14" s="20"/>
      <c r="L14" s="20"/>
      <c r="M14" s="20"/>
      <c r="N14" s="20"/>
      <c r="O14" s="25"/>
      <c r="P14" s="25"/>
      <c r="Q14" s="20"/>
      <c r="R14" s="21"/>
      <c r="S14" s="23"/>
    </row>
    <row r="15" spans="1:19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0"/>
      <c r="I15" s="20"/>
      <c r="J15" s="20"/>
      <c r="K15" s="20"/>
      <c r="L15" s="20"/>
      <c r="M15" s="20"/>
      <c r="N15" s="20"/>
      <c r="O15" s="25"/>
      <c r="P15" s="25"/>
      <c r="Q15" s="20"/>
      <c r="R15" s="21"/>
      <c r="S15" s="23"/>
    </row>
  </sheetData>
  <phoneticPr fontId="6"/>
  <conditionalFormatting sqref="G6:G1000">
    <cfRule type="expression" dxfId="4" priority="1">
      <formula>AND($G6="", COUNTA($H6:$Q6)&gt;0)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B1A61-B212-4866-800C-A8F553087EF8}">
  <sheetPr codeName="Sheet9"/>
  <dimension ref="A1:U16"/>
  <sheetViews>
    <sheetView zoomScale="90" zoomScaleNormal="90" workbookViewId="0">
      <pane xSplit="1" ySplit="5" topLeftCell="B6" activePane="bottomRight" state="frozen"/>
      <selection activeCell="J8" sqref="J8"/>
      <selection pane="topRight" activeCell="J8" sqref="J8"/>
      <selection pane="bottomLeft" activeCell="J8" sqref="J8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19" width="27.3984375" style="19" customWidth="1"/>
    <col min="20" max="20" width="2.59765625" style="21" customWidth="1"/>
    <col min="21" max="21" width="27.3984375" style="21" customWidth="1"/>
    <col min="22" max="16384" width="9" style="19"/>
  </cols>
  <sheetData>
    <row r="1" spans="1:21" ht="24.6" x14ac:dyDescent="0.45">
      <c r="A1" s="44" t="s">
        <v>117</v>
      </c>
      <c r="B1" s="45" t="s">
        <v>199</v>
      </c>
      <c r="C1" s="44"/>
      <c r="D1" s="44"/>
      <c r="E1" s="44"/>
      <c r="F1" s="44"/>
      <c r="G1" s="45"/>
    </row>
    <row r="2" spans="1:21" x14ac:dyDescent="0.45">
      <c r="I2" s="46"/>
      <c r="M2" s="46"/>
      <c r="N2" s="46"/>
      <c r="O2" s="46"/>
      <c r="P2" s="46"/>
      <c r="R2" s="21"/>
      <c r="S2" s="21"/>
      <c r="T2" s="19"/>
      <c r="U2" s="19"/>
    </row>
    <row r="3" spans="1:21" s="32" customFormat="1" ht="30" customHeight="1" x14ac:dyDescent="0.45">
      <c r="A3" s="39" t="s">
        <v>143</v>
      </c>
      <c r="B3" s="61" t="s">
        <v>188</v>
      </c>
      <c r="C3" s="61" t="s">
        <v>189</v>
      </c>
      <c r="D3" s="61" t="s">
        <v>190</v>
      </c>
      <c r="E3" s="61" t="s">
        <v>191</v>
      </c>
      <c r="F3" s="61" t="s">
        <v>233</v>
      </c>
      <c r="G3" s="39" t="s">
        <v>40</v>
      </c>
      <c r="H3" s="39" t="s">
        <v>269</v>
      </c>
      <c r="I3" s="61" t="s">
        <v>187</v>
      </c>
      <c r="J3" s="61" t="s">
        <v>118</v>
      </c>
      <c r="K3" s="61" t="s">
        <v>119</v>
      </c>
      <c r="L3" s="61" t="s">
        <v>46</v>
      </c>
      <c r="M3" s="61" t="s">
        <v>200</v>
      </c>
      <c r="N3" s="61" t="s">
        <v>201</v>
      </c>
      <c r="O3" s="61" t="s">
        <v>202</v>
      </c>
      <c r="P3" s="61" t="s">
        <v>185</v>
      </c>
      <c r="Q3" s="39" t="s">
        <v>16</v>
      </c>
      <c r="R3" s="39" t="s">
        <v>235</v>
      </c>
      <c r="S3" s="39" t="s">
        <v>51</v>
      </c>
      <c r="T3" s="36"/>
      <c r="U3" s="37" t="s">
        <v>154</v>
      </c>
    </row>
    <row r="4" spans="1:21" ht="43.2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120</v>
      </c>
      <c r="I4" s="38" t="s">
        <v>227</v>
      </c>
      <c r="J4" s="38" t="s">
        <v>75</v>
      </c>
      <c r="K4" s="38" t="s">
        <v>76</v>
      </c>
      <c r="L4" s="38" t="s">
        <v>87</v>
      </c>
      <c r="M4" s="38" t="s">
        <v>228</v>
      </c>
      <c r="N4" s="38" t="s">
        <v>229</v>
      </c>
      <c r="O4" s="38" t="s">
        <v>230</v>
      </c>
      <c r="P4" s="38" t="s">
        <v>186</v>
      </c>
      <c r="Q4" s="34" t="s">
        <v>16</v>
      </c>
      <c r="R4" s="34" t="s">
        <v>221</v>
      </c>
      <c r="S4" s="34" t="s">
        <v>22</v>
      </c>
      <c r="T4" s="19"/>
      <c r="U4" s="33" t="s">
        <v>155</v>
      </c>
    </row>
    <row r="5" spans="1:21" ht="86.4" x14ac:dyDescent="0.45">
      <c r="A5" s="33" t="s">
        <v>142</v>
      </c>
      <c r="B5" s="33"/>
      <c r="C5" s="33"/>
      <c r="D5" s="33"/>
      <c r="E5" s="33"/>
      <c r="F5" s="33"/>
      <c r="G5" s="34" t="s">
        <v>151</v>
      </c>
      <c r="H5" s="34"/>
      <c r="I5" s="34"/>
      <c r="J5" s="34"/>
      <c r="K5" s="34"/>
      <c r="L5" s="38" t="s">
        <v>279</v>
      </c>
      <c r="M5" s="34"/>
      <c r="N5" s="34"/>
      <c r="O5" s="34"/>
      <c r="P5" s="34"/>
      <c r="Q5" s="34"/>
      <c r="R5" s="34"/>
      <c r="S5" s="34"/>
      <c r="T5" s="19"/>
      <c r="U5" s="33" t="s">
        <v>156</v>
      </c>
    </row>
    <row r="6" spans="1:21" s="26" customFormat="1" ht="30.7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5"/>
      <c r="I6" s="20"/>
      <c r="J6" s="20"/>
      <c r="K6" s="20"/>
      <c r="L6" s="20"/>
      <c r="M6" s="20"/>
      <c r="N6" s="20"/>
      <c r="O6" s="20"/>
      <c r="P6" s="20"/>
      <c r="Q6" s="25"/>
      <c r="R6" s="25"/>
      <c r="S6" s="20"/>
      <c r="T6" s="21"/>
      <c r="U6" s="23"/>
    </row>
    <row r="7" spans="1:21" s="26" customFormat="1" ht="30.7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5"/>
      <c r="I7" s="20"/>
      <c r="J7" s="20"/>
      <c r="K7" s="20"/>
      <c r="L7" s="20"/>
      <c r="M7" s="20"/>
      <c r="N7" s="20"/>
      <c r="O7" s="20"/>
      <c r="P7" s="20"/>
      <c r="Q7" s="25"/>
      <c r="R7" s="25"/>
      <c r="S7" s="20"/>
      <c r="T7" s="21"/>
      <c r="U7" s="23"/>
    </row>
    <row r="8" spans="1:21" s="26" customFormat="1" ht="30.7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5"/>
      <c r="I8" s="20"/>
      <c r="J8" s="20"/>
      <c r="K8" s="20"/>
      <c r="L8" s="20"/>
      <c r="M8" s="20"/>
      <c r="N8" s="20"/>
      <c r="O8" s="20"/>
      <c r="P8" s="20"/>
      <c r="Q8" s="25"/>
      <c r="R8" s="25"/>
      <c r="S8" s="20"/>
      <c r="T8" s="21"/>
      <c r="U8" s="23"/>
    </row>
    <row r="9" spans="1:21" s="26" customFormat="1" ht="30.7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5"/>
      <c r="I9" s="20"/>
      <c r="J9" s="20"/>
      <c r="K9" s="20"/>
      <c r="L9" s="20"/>
      <c r="M9" s="20"/>
      <c r="N9" s="20"/>
      <c r="O9" s="20"/>
      <c r="P9" s="20"/>
      <c r="Q9" s="25"/>
      <c r="R9" s="25"/>
      <c r="S9" s="20"/>
      <c r="T9" s="21"/>
      <c r="U9" s="23"/>
    </row>
    <row r="10" spans="1:21" s="26" customFormat="1" ht="30.7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5"/>
      <c r="I10" s="20"/>
      <c r="J10" s="20"/>
      <c r="K10" s="20"/>
      <c r="L10" s="20"/>
      <c r="M10" s="20"/>
      <c r="N10" s="20"/>
      <c r="O10" s="20"/>
      <c r="P10" s="20"/>
      <c r="Q10" s="25"/>
      <c r="R10" s="25"/>
      <c r="S10" s="20"/>
      <c r="T10" s="21"/>
      <c r="U10" s="23"/>
    </row>
    <row r="11" spans="1:21" s="26" customFormat="1" ht="30.7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5"/>
      <c r="I11" s="20"/>
      <c r="J11" s="20"/>
      <c r="K11" s="20"/>
      <c r="L11" s="20"/>
      <c r="M11" s="20"/>
      <c r="N11" s="20"/>
      <c r="O11" s="20"/>
      <c r="P11" s="20"/>
      <c r="Q11" s="25"/>
      <c r="R11" s="25"/>
      <c r="S11" s="20"/>
      <c r="T11" s="21"/>
      <c r="U11" s="23"/>
    </row>
    <row r="12" spans="1:21" s="26" customFormat="1" ht="30.7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5"/>
      <c r="I12" s="20"/>
      <c r="J12" s="20"/>
      <c r="K12" s="20"/>
      <c r="L12" s="20"/>
      <c r="M12" s="20"/>
      <c r="N12" s="20"/>
      <c r="O12" s="20"/>
      <c r="P12" s="20"/>
      <c r="Q12" s="25"/>
      <c r="R12" s="25"/>
      <c r="S12" s="20"/>
      <c r="T12" s="21"/>
      <c r="U12" s="23"/>
    </row>
    <row r="13" spans="1:21" s="26" customFormat="1" ht="30.7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5"/>
      <c r="I13" s="20"/>
      <c r="J13" s="20"/>
      <c r="K13" s="20"/>
      <c r="L13" s="20"/>
      <c r="M13" s="20"/>
      <c r="N13" s="20"/>
      <c r="O13" s="20"/>
      <c r="P13" s="20"/>
      <c r="Q13" s="25"/>
      <c r="R13" s="25"/>
      <c r="S13" s="20"/>
      <c r="T13" s="21"/>
      <c r="U13" s="23"/>
    </row>
    <row r="14" spans="1:21" s="26" customFormat="1" ht="30.7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5"/>
      <c r="I14" s="20"/>
      <c r="J14" s="20"/>
      <c r="K14" s="20"/>
      <c r="L14" s="20"/>
      <c r="M14" s="20"/>
      <c r="N14" s="20"/>
      <c r="O14" s="20"/>
      <c r="P14" s="20"/>
      <c r="Q14" s="25"/>
      <c r="R14" s="25"/>
      <c r="S14" s="20"/>
      <c r="T14" s="21"/>
      <c r="U14" s="23"/>
    </row>
    <row r="15" spans="1:21" s="26" customFormat="1" ht="30.7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5"/>
      <c r="I15" s="20"/>
      <c r="J15" s="20"/>
      <c r="K15" s="20"/>
      <c r="L15" s="20"/>
      <c r="M15" s="20"/>
      <c r="N15" s="20"/>
      <c r="O15" s="20"/>
      <c r="P15" s="20"/>
      <c r="Q15" s="25"/>
      <c r="R15" s="25"/>
      <c r="S15" s="20"/>
      <c r="T15" s="21"/>
      <c r="U15" s="23"/>
    </row>
    <row r="16" spans="1:21" x14ac:dyDescent="0.45">
      <c r="Q16" s="27"/>
      <c r="R16" s="27"/>
    </row>
  </sheetData>
  <phoneticPr fontId="6"/>
  <conditionalFormatting sqref="G6:G1000">
    <cfRule type="expression" dxfId="3" priority="1">
      <formula>AND($G6="", COUNTA($I6:$S6)&gt;0)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481CF-B62C-4435-892B-335A9BDCFC10}">
  <sheetPr codeName="Sheet10"/>
  <dimension ref="A1:AF17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16" width="27.3984375" style="19" customWidth="1"/>
    <col min="17" max="17" width="31.69921875" style="19" customWidth="1"/>
    <col min="18" max="30" width="27.3984375" style="19" customWidth="1"/>
    <col min="31" max="31" width="2.59765625" style="21" customWidth="1"/>
    <col min="32" max="32" width="27.3984375" style="21" customWidth="1"/>
    <col min="33" max="16384" width="9" style="19"/>
  </cols>
  <sheetData>
    <row r="1" spans="1:32" ht="24.6" x14ac:dyDescent="0.45">
      <c r="A1" s="43" t="s">
        <v>122</v>
      </c>
      <c r="B1" s="43"/>
      <c r="C1" s="45" t="s">
        <v>199</v>
      </c>
      <c r="D1" s="43"/>
      <c r="E1" s="43"/>
      <c r="F1" s="43"/>
      <c r="H1" s="45"/>
    </row>
    <row r="3" spans="1:32" s="32" customFormat="1" ht="30" customHeight="1" x14ac:dyDescent="0.45">
      <c r="A3" s="41" t="s">
        <v>143</v>
      </c>
      <c r="B3" s="62" t="s">
        <v>188</v>
      </c>
      <c r="C3" s="62" t="s">
        <v>189</v>
      </c>
      <c r="D3" s="62" t="s">
        <v>190</v>
      </c>
      <c r="E3" s="62" t="s">
        <v>191</v>
      </c>
      <c r="F3" s="62" t="s">
        <v>233</v>
      </c>
      <c r="G3" s="41" t="s">
        <v>40</v>
      </c>
      <c r="H3" s="41" t="s">
        <v>181</v>
      </c>
      <c r="I3" s="41" t="s">
        <v>238</v>
      </c>
      <c r="J3" s="41" t="s">
        <v>123</v>
      </c>
      <c r="K3" s="41" t="s">
        <v>95</v>
      </c>
      <c r="L3" s="41" t="s">
        <v>45</v>
      </c>
      <c r="M3" s="62" t="s">
        <v>124</v>
      </c>
      <c r="N3" s="62" t="s">
        <v>25</v>
      </c>
      <c r="O3" s="62" t="s">
        <v>26</v>
      </c>
      <c r="P3" s="62" t="s">
        <v>208</v>
      </c>
      <c r="Q3" s="41" t="s">
        <v>50</v>
      </c>
      <c r="R3" s="41" t="s">
        <v>125</v>
      </c>
      <c r="S3" s="41" t="s">
        <v>126</v>
      </c>
      <c r="T3" s="41" t="s">
        <v>127</v>
      </c>
      <c r="U3" s="41" t="s">
        <v>16</v>
      </c>
      <c r="V3" s="41" t="s">
        <v>30</v>
      </c>
      <c r="W3" s="41" t="s">
        <v>31</v>
      </c>
      <c r="X3" s="41" t="s">
        <v>32</v>
      </c>
      <c r="Y3" s="41" t="s">
        <v>33</v>
      </c>
      <c r="Z3" s="41" t="s">
        <v>34</v>
      </c>
      <c r="AA3" s="41" t="s">
        <v>35</v>
      </c>
      <c r="AB3" s="41" t="s">
        <v>36</v>
      </c>
      <c r="AC3" s="41" t="s">
        <v>235</v>
      </c>
      <c r="AD3" s="41" t="s">
        <v>161</v>
      </c>
      <c r="AE3" s="36"/>
      <c r="AF3" s="37" t="s">
        <v>154</v>
      </c>
    </row>
    <row r="4" spans="1:32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128</v>
      </c>
      <c r="I4" s="34" t="s">
        <v>52</v>
      </c>
      <c r="J4" s="34" t="s">
        <v>129</v>
      </c>
      <c r="K4" s="34" t="s">
        <v>130</v>
      </c>
      <c r="L4" s="34" t="s">
        <v>131</v>
      </c>
      <c r="M4" s="38" t="s">
        <v>132</v>
      </c>
      <c r="N4" s="38" t="s">
        <v>133</v>
      </c>
      <c r="O4" s="38" t="s">
        <v>134</v>
      </c>
      <c r="P4" s="38" t="s">
        <v>218</v>
      </c>
      <c r="Q4" s="34" t="s">
        <v>61</v>
      </c>
      <c r="R4" s="34" t="s">
        <v>135</v>
      </c>
      <c r="S4" s="34" t="s">
        <v>121</v>
      </c>
      <c r="T4" s="34" t="s">
        <v>136</v>
      </c>
      <c r="U4" s="34" t="s">
        <v>16</v>
      </c>
      <c r="V4" s="34" t="s">
        <v>17</v>
      </c>
      <c r="W4" s="34" t="s">
        <v>18</v>
      </c>
      <c r="X4" s="34" t="s">
        <v>19</v>
      </c>
      <c r="Y4" s="34" t="s">
        <v>219</v>
      </c>
      <c r="Z4" s="34" t="s">
        <v>20</v>
      </c>
      <c r="AA4" s="34" t="s">
        <v>21</v>
      </c>
      <c r="AB4" s="34" t="s">
        <v>220</v>
      </c>
      <c r="AC4" s="34" t="s">
        <v>221</v>
      </c>
      <c r="AD4" s="34" t="s">
        <v>22</v>
      </c>
      <c r="AE4" s="19"/>
      <c r="AF4" s="33" t="s">
        <v>155</v>
      </c>
    </row>
    <row r="5" spans="1:32" ht="163.80000000000001" x14ac:dyDescent="0.45">
      <c r="A5" s="33" t="s">
        <v>142</v>
      </c>
      <c r="B5" s="33"/>
      <c r="C5" s="33"/>
      <c r="D5" s="33"/>
      <c r="E5" s="33"/>
      <c r="F5" s="33"/>
      <c r="G5" s="34" t="s">
        <v>160</v>
      </c>
      <c r="H5" s="34"/>
      <c r="I5" s="34" t="s">
        <v>270</v>
      </c>
      <c r="J5" s="34"/>
      <c r="K5" s="34"/>
      <c r="L5" s="34"/>
      <c r="M5" s="38" t="s">
        <v>281</v>
      </c>
      <c r="N5" s="70" t="s">
        <v>282</v>
      </c>
      <c r="O5" s="38" t="s">
        <v>283</v>
      </c>
      <c r="P5" s="38" t="s">
        <v>209</v>
      </c>
      <c r="Q5" s="35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19"/>
      <c r="AF5" s="33" t="s">
        <v>156</v>
      </c>
    </row>
    <row r="6" spans="1:32" s="26" customFormat="1" ht="32.2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0"/>
      <c r="I6" s="25"/>
      <c r="J6" s="25"/>
      <c r="K6" s="20"/>
      <c r="L6" s="20"/>
      <c r="M6" s="20"/>
      <c r="N6" s="20"/>
      <c r="O6" s="20"/>
      <c r="P6" s="20"/>
      <c r="Q6" s="20"/>
      <c r="R6" s="20"/>
      <c r="S6" s="20"/>
      <c r="T6" s="20"/>
      <c r="U6" s="25"/>
      <c r="V6" s="20"/>
      <c r="W6" s="20"/>
      <c r="X6" s="20"/>
      <c r="Y6" s="20"/>
      <c r="Z6" s="20"/>
      <c r="AA6" s="20"/>
      <c r="AB6" s="20"/>
      <c r="AC6" s="25"/>
      <c r="AD6" s="20"/>
      <c r="AE6" s="21"/>
      <c r="AF6" s="23"/>
    </row>
    <row r="7" spans="1:32" s="26" customFormat="1" ht="32.2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0"/>
      <c r="I7" s="25"/>
      <c r="J7" s="25"/>
      <c r="K7" s="20"/>
      <c r="L7" s="20"/>
      <c r="M7" s="20"/>
      <c r="N7" s="20"/>
      <c r="O7" s="20"/>
      <c r="P7" s="20"/>
      <c r="Q7" s="20"/>
      <c r="R7" s="20"/>
      <c r="S7" s="20"/>
      <c r="T7" s="20"/>
      <c r="U7" s="25"/>
      <c r="V7" s="20"/>
      <c r="W7" s="20"/>
      <c r="X7" s="20"/>
      <c r="Y7" s="20"/>
      <c r="Z7" s="20"/>
      <c r="AA7" s="20"/>
      <c r="AB7" s="20"/>
      <c r="AC7" s="25"/>
      <c r="AD7" s="20"/>
      <c r="AE7" s="21"/>
      <c r="AF7" s="23"/>
    </row>
    <row r="8" spans="1:32" s="26" customFormat="1" ht="32.2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0"/>
      <c r="I8" s="25"/>
      <c r="J8" s="25"/>
      <c r="K8" s="20"/>
      <c r="L8" s="20"/>
      <c r="M8" s="20"/>
      <c r="N8" s="20"/>
      <c r="O8" s="20"/>
      <c r="P8" s="20"/>
      <c r="Q8" s="20"/>
      <c r="R8" s="20"/>
      <c r="S8" s="20"/>
      <c r="T8" s="20"/>
      <c r="U8" s="25"/>
      <c r="V8" s="20"/>
      <c r="W8" s="20"/>
      <c r="X8" s="20"/>
      <c r="Y8" s="20"/>
      <c r="Z8" s="20"/>
      <c r="AA8" s="20"/>
      <c r="AB8" s="20"/>
      <c r="AC8" s="25"/>
      <c r="AD8" s="20"/>
      <c r="AE8" s="21"/>
      <c r="AF8" s="23"/>
    </row>
    <row r="9" spans="1:32" s="26" customFormat="1" ht="32.2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0"/>
      <c r="I9" s="25"/>
      <c r="J9" s="25"/>
      <c r="K9" s="20"/>
      <c r="L9" s="20"/>
      <c r="M9" s="20"/>
      <c r="N9" s="20"/>
      <c r="O9" s="20"/>
      <c r="P9" s="20"/>
      <c r="Q9" s="20"/>
      <c r="R9" s="20"/>
      <c r="S9" s="20"/>
      <c r="T9" s="20"/>
      <c r="U9" s="25"/>
      <c r="V9" s="20"/>
      <c r="W9" s="20"/>
      <c r="X9" s="20"/>
      <c r="Y9" s="20"/>
      <c r="Z9" s="20"/>
      <c r="AA9" s="20"/>
      <c r="AB9" s="20"/>
      <c r="AC9" s="25"/>
      <c r="AD9" s="20"/>
      <c r="AE9" s="21"/>
      <c r="AF9" s="23"/>
    </row>
    <row r="10" spans="1:32" s="26" customFormat="1" ht="32.2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0"/>
      <c r="I10" s="25"/>
      <c r="J10" s="2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5"/>
      <c r="V10" s="20"/>
      <c r="W10" s="20"/>
      <c r="X10" s="20"/>
      <c r="Y10" s="20"/>
      <c r="Z10" s="20"/>
      <c r="AA10" s="20"/>
      <c r="AB10" s="20"/>
      <c r="AC10" s="25"/>
      <c r="AD10" s="20"/>
      <c r="AE10" s="21"/>
      <c r="AF10" s="23"/>
    </row>
    <row r="11" spans="1:32" s="26" customFormat="1" ht="32.2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0"/>
      <c r="I11" s="25"/>
      <c r="J11" s="2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5"/>
      <c r="V11" s="20"/>
      <c r="W11" s="20"/>
      <c r="X11" s="20"/>
      <c r="Y11" s="20"/>
      <c r="Z11" s="20"/>
      <c r="AA11" s="20"/>
      <c r="AB11" s="20"/>
      <c r="AC11" s="25"/>
      <c r="AD11" s="20"/>
      <c r="AE11" s="21"/>
      <c r="AF11" s="23"/>
    </row>
    <row r="12" spans="1:32" s="26" customFormat="1" ht="32.2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0"/>
      <c r="I12" s="25"/>
      <c r="J12" s="2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5"/>
      <c r="V12" s="20"/>
      <c r="W12" s="20"/>
      <c r="X12" s="20"/>
      <c r="Y12" s="20"/>
      <c r="Z12" s="20"/>
      <c r="AA12" s="20"/>
      <c r="AB12" s="20"/>
      <c r="AC12" s="25"/>
      <c r="AD12" s="20"/>
      <c r="AE12" s="21"/>
      <c r="AF12" s="23"/>
    </row>
    <row r="13" spans="1:32" s="26" customFormat="1" ht="32.2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0"/>
      <c r="I13" s="25"/>
      <c r="J13" s="2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5"/>
      <c r="V13" s="20"/>
      <c r="W13" s="20"/>
      <c r="X13" s="20"/>
      <c r="Y13" s="20"/>
      <c r="Z13" s="20"/>
      <c r="AA13" s="20"/>
      <c r="AB13" s="20"/>
      <c r="AC13" s="25"/>
      <c r="AD13" s="20"/>
      <c r="AE13" s="21"/>
      <c r="AF13" s="23"/>
    </row>
    <row r="14" spans="1:32" s="26" customFormat="1" ht="32.2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0"/>
      <c r="I14" s="25"/>
      <c r="J14" s="25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5"/>
      <c r="V14" s="20"/>
      <c r="W14" s="20"/>
      <c r="X14" s="20"/>
      <c r="Y14" s="20"/>
      <c r="Z14" s="20"/>
      <c r="AA14" s="20"/>
      <c r="AB14" s="20"/>
      <c r="AC14" s="25"/>
      <c r="AD14" s="20"/>
      <c r="AE14" s="21"/>
      <c r="AF14" s="23"/>
    </row>
    <row r="15" spans="1:32" s="26" customFormat="1" ht="32.2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0"/>
      <c r="I15" s="25"/>
      <c r="J15" s="25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5"/>
      <c r="V15" s="20"/>
      <c r="W15" s="20"/>
      <c r="X15" s="20"/>
      <c r="Y15" s="20"/>
      <c r="Z15" s="20"/>
      <c r="AA15" s="20"/>
      <c r="AB15" s="20"/>
      <c r="AC15" s="25"/>
      <c r="AD15" s="20"/>
      <c r="AE15" s="21"/>
      <c r="AF15" s="23"/>
    </row>
    <row r="16" spans="1:32" x14ac:dyDescent="0.45">
      <c r="O16" s="26"/>
      <c r="P16" s="26"/>
      <c r="Q16" s="26"/>
    </row>
    <row r="17" spans="15:17" x14ac:dyDescent="0.45">
      <c r="O17" s="26"/>
      <c r="P17" s="26"/>
      <c r="Q17" s="26"/>
    </row>
  </sheetData>
  <phoneticPr fontId="6"/>
  <conditionalFormatting sqref="G6:G1000">
    <cfRule type="expression" dxfId="2" priority="1">
      <formula>AND($G6="", COUNTA($H6:$AD6)&gt;0)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64067-E246-4CDF-8BE1-563565A77B6A}">
  <sheetPr codeName="Sheet11"/>
  <dimension ref="A1:AE17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29" width="27.3984375" style="19" customWidth="1"/>
    <col min="30" max="30" width="2.59765625" style="21" customWidth="1"/>
    <col min="31" max="31" width="27.3984375" style="21" customWidth="1"/>
    <col min="32" max="16384" width="9" style="19"/>
  </cols>
  <sheetData>
    <row r="1" spans="1:31" ht="24.6" x14ac:dyDescent="0.45">
      <c r="A1" s="44" t="s">
        <v>152</v>
      </c>
      <c r="B1" s="45" t="s">
        <v>199</v>
      </c>
      <c r="C1" s="44"/>
      <c r="D1" s="44"/>
      <c r="E1" s="44"/>
      <c r="F1" s="44"/>
      <c r="G1" s="45"/>
    </row>
    <row r="3" spans="1:31" s="52" customFormat="1" ht="30" customHeight="1" x14ac:dyDescent="0.45">
      <c r="A3" s="63" t="s">
        <v>143</v>
      </c>
      <c r="B3" s="63" t="s">
        <v>188</v>
      </c>
      <c r="C3" s="63" t="s">
        <v>189</v>
      </c>
      <c r="D3" s="63" t="s">
        <v>190</v>
      </c>
      <c r="E3" s="63" t="s">
        <v>191</v>
      </c>
      <c r="F3" s="63" t="s">
        <v>234</v>
      </c>
      <c r="G3" s="63" t="s">
        <v>40</v>
      </c>
      <c r="H3" s="63" t="s">
        <v>181</v>
      </c>
      <c r="I3" s="63" t="s">
        <v>238</v>
      </c>
      <c r="J3" s="63" t="s">
        <v>123</v>
      </c>
      <c r="K3" s="63" t="s">
        <v>95</v>
      </c>
      <c r="L3" s="63" t="s">
        <v>45</v>
      </c>
      <c r="M3" s="63" t="s">
        <v>124</v>
      </c>
      <c r="N3" s="63" t="s">
        <v>25</v>
      </c>
      <c r="O3" s="63" t="s">
        <v>26</v>
      </c>
      <c r="P3" s="63" t="s">
        <v>50</v>
      </c>
      <c r="Q3" s="63" t="s">
        <v>125</v>
      </c>
      <c r="R3" s="63" t="s">
        <v>126</v>
      </c>
      <c r="S3" s="63" t="s">
        <v>127</v>
      </c>
      <c r="T3" s="63" t="s">
        <v>16</v>
      </c>
      <c r="U3" s="63" t="s">
        <v>30</v>
      </c>
      <c r="V3" s="63" t="s">
        <v>31</v>
      </c>
      <c r="W3" s="63" t="s">
        <v>32</v>
      </c>
      <c r="X3" s="63" t="s">
        <v>33</v>
      </c>
      <c r="Y3" s="63" t="s">
        <v>34</v>
      </c>
      <c r="Z3" s="63" t="s">
        <v>35</v>
      </c>
      <c r="AA3" s="63" t="s">
        <v>36</v>
      </c>
      <c r="AB3" s="63" t="s">
        <v>235</v>
      </c>
      <c r="AC3" s="63" t="s">
        <v>161</v>
      </c>
      <c r="AD3" s="55"/>
      <c r="AE3" s="56" t="s">
        <v>154</v>
      </c>
    </row>
    <row r="4" spans="1:31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128</v>
      </c>
      <c r="I4" s="34" t="s">
        <v>52</v>
      </c>
      <c r="J4" s="34" t="s">
        <v>137</v>
      </c>
      <c r="K4" s="34" t="s">
        <v>130</v>
      </c>
      <c r="L4" s="34" t="s">
        <v>131</v>
      </c>
      <c r="M4" s="34" t="s">
        <v>132</v>
      </c>
      <c r="N4" s="34" t="s">
        <v>138</v>
      </c>
      <c r="O4" s="34" t="s">
        <v>139</v>
      </c>
      <c r="P4" s="34" t="s">
        <v>61</v>
      </c>
      <c r="Q4" s="34" t="s">
        <v>135</v>
      </c>
      <c r="R4" s="34" t="s">
        <v>121</v>
      </c>
      <c r="S4" s="34" t="s">
        <v>136</v>
      </c>
      <c r="T4" s="34" t="s">
        <v>16</v>
      </c>
      <c r="U4" s="34" t="s">
        <v>17</v>
      </c>
      <c r="V4" s="34" t="s">
        <v>18</v>
      </c>
      <c r="W4" s="34" t="s">
        <v>19</v>
      </c>
      <c r="X4" s="34" t="s">
        <v>219</v>
      </c>
      <c r="Y4" s="34" t="s">
        <v>20</v>
      </c>
      <c r="Z4" s="34" t="s">
        <v>21</v>
      </c>
      <c r="AA4" s="34" t="s">
        <v>220</v>
      </c>
      <c r="AB4" s="34" t="s">
        <v>221</v>
      </c>
      <c r="AC4" s="34" t="s">
        <v>22</v>
      </c>
      <c r="AD4" s="19"/>
      <c r="AE4" s="33" t="s">
        <v>155</v>
      </c>
    </row>
    <row r="5" spans="1:31" ht="129.6" x14ac:dyDescent="0.45">
      <c r="A5" s="33" t="s">
        <v>142</v>
      </c>
      <c r="B5" s="33"/>
      <c r="C5" s="33"/>
      <c r="D5" s="33"/>
      <c r="E5" s="33"/>
      <c r="F5" s="33"/>
      <c r="G5" s="34" t="s">
        <v>165</v>
      </c>
      <c r="H5" s="34"/>
      <c r="I5" s="34" t="s">
        <v>272</v>
      </c>
      <c r="J5" s="34"/>
      <c r="K5" s="34"/>
      <c r="L5" s="34"/>
      <c r="M5" s="34" t="s">
        <v>271</v>
      </c>
      <c r="N5" s="38" t="s">
        <v>284</v>
      </c>
      <c r="O5" s="38" t="s">
        <v>285</v>
      </c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19"/>
      <c r="AE5" s="33" t="s">
        <v>156</v>
      </c>
    </row>
    <row r="6" spans="1:31" s="26" customFormat="1" ht="32.25" customHeight="1" x14ac:dyDescent="0.45">
      <c r="A6" s="24" t="str">
        <f ca="1">TEXT(申請者情報!$D$4,"yyyymmdd")&amp;"_"&amp; TEXT(ROW() - ROW($A$5), "00") &amp;"_"&amp;$G6</f>
        <v>20220726_01_</v>
      </c>
      <c r="B6" s="64"/>
      <c r="C6" s="64"/>
      <c r="D6" s="64"/>
      <c r="E6" s="64"/>
      <c r="F6" s="64"/>
      <c r="G6" s="20"/>
      <c r="H6" s="20"/>
      <c r="I6" s="25"/>
      <c r="J6" s="25"/>
      <c r="K6" s="20"/>
      <c r="L6" s="20"/>
      <c r="M6" s="20"/>
      <c r="N6" s="20"/>
      <c r="O6" s="20"/>
      <c r="P6" s="20"/>
      <c r="Q6" s="20"/>
      <c r="R6" s="20"/>
      <c r="S6" s="20"/>
      <c r="T6" s="25"/>
      <c r="U6" s="20"/>
      <c r="V6" s="20"/>
      <c r="W6" s="20"/>
      <c r="X6" s="20"/>
      <c r="Y6" s="20"/>
      <c r="Z6" s="20"/>
      <c r="AA6" s="20"/>
      <c r="AB6" s="25"/>
      <c r="AC6" s="20"/>
      <c r="AD6" s="21"/>
      <c r="AE6" s="23"/>
    </row>
    <row r="7" spans="1:31" s="26" customFormat="1" ht="32.25" customHeight="1" x14ac:dyDescent="0.45">
      <c r="A7" s="24" t="str">
        <f ca="1">TEXT(申請者情報!$D$4,"yyyymmdd")&amp;"_"&amp; TEXT(ROW() - ROW($A$5), "00") &amp;"_"&amp;$G7</f>
        <v>20220726_02_</v>
      </c>
      <c r="B7" s="64"/>
      <c r="C7" s="64"/>
      <c r="D7" s="64"/>
      <c r="E7" s="64"/>
      <c r="F7" s="64"/>
      <c r="G7" s="20"/>
      <c r="H7" s="20"/>
      <c r="I7" s="25"/>
      <c r="J7" s="25"/>
      <c r="K7" s="20"/>
      <c r="L7" s="20"/>
      <c r="M7" s="20"/>
      <c r="N7" s="20"/>
      <c r="O7" s="20"/>
      <c r="P7" s="20"/>
      <c r="Q7" s="20"/>
      <c r="R7" s="20"/>
      <c r="S7" s="20"/>
      <c r="T7" s="25"/>
      <c r="U7" s="20"/>
      <c r="V7" s="20"/>
      <c r="W7" s="20"/>
      <c r="X7" s="20"/>
      <c r="Y7" s="20"/>
      <c r="Z7" s="20"/>
      <c r="AA7" s="20"/>
      <c r="AB7" s="25"/>
      <c r="AC7" s="20"/>
      <c r="AD7" s="21"/>
      <c r="AE7" s="23"/>
    </row>
    <row r="8" spans="1:31" s="26" customFormat="1" ht="32.25" customHeight="1" x14ac:dyDescent="0.45">
      <c r="A8" s="24" t="str">
        <f ca="1">TEXT(申請者情報!$D$4,"yyyymmdd")&amp;"_"&amp; TEXT(ROW() - ROW($A$5), "00") &amp;"_"&amp;$G8</f>
        <v>20220726_03_</v>
      </c>
      <c r="B8" s="64"/>
      <c r="C8" s="64"/>
      <c r="D8" s="64"/>
      <c r="E8" s="64"/>
      <c r="F8" s="64"/>
      <c r="G8" s="20"/>
      <c r="H8" s="20"/>
      <c r="I8" s="25"/>
      <c r="J8" s="25"/>
      <c r="K8" s="20"/>
      <c r="L8" s="20"/>
      <c r="M8" s="20"/>
      <c r="N8" s="20"/>
      <c r="O8" s="20"/>
      <c r="P8" s="20"/>
      <c r="Q8" s="20"/>
      <c r="R8" s="20"/>
      <c r="S8" s="20"/>
      <c r="T8" s="25"/>
      <c r="U8" s="20"/>
      <c r="V8" s="20"/>
      <c r="W8" s="20"/>
      <c r="X8" s="20"/>
      <c r="Y8" s="20"/>
      <c r="Z8" s="20"/>
      <c r="AA8" s="20"/>
      <c r="AB8" s="25"/>
      <c r="AC8" s="20"/>
      <c r="AD8" s="21"/>
      <c r="AE8" s="23"/>
    </row>
    <row r="9" spans="1:31" s="26" customFormat="1" ht="32.25" customHeight="1" x14ac:dyDescent="0.45">
      <c r="A9" s="24" t="str">
        <f ca="1">TEXT(申請者情報!$D$4,"yyyymmdd")&amp;"_"&amp; TEXT(ROW() - ROW($A$5), "00") &amp;"_"&amp;$G9</f>
        <v>20220726_04_</v>
      </c>
      <c r="B9" s="64"/>
      <c r="C9" s="64"/>
      <c r="D9" s="64"/>
      <c r="E9" s="64"/>
      <c r="F9" s="64"/>
      <c r="G9" s="20"/>
      <c r="H9" s="20"/>
      <c r="I9" s="25"/>
      <c r="J9" s="25"/>
      <c r="K9" s="20"/>
      <c r="L9" s="20"/>
      <c r="M9" s="20"/>
      <c r="N9" s="20"/>
      <c r="O9" s="20"/>
      <c r="P9" s="20"/>
      <c r="Q9" s="20"/>
      <c r="R9" s="20"/>
      <c r="S9" s="20"/>
      <c r="T9" s="25"/>
      <c r="U9" s="20"/>
      <c r="V9" s="20"/>
      <c r="W9" s="20"/>
      <c r="X9" s="20"/>
      <c r="Y9" s="20"/>
      <c r="Z9" s="20"/>
      <c r="AA9" s="20"/>
      <c r="AB9" s="25"/>
      <c r="AC9" s="20"/>
      <c r="AD9" s="21"/>
      <c r="AE9" s="23"/>
    </row>
    <row r="10" spans="1:31" s="26" customFormat="1" ht="32.25" customHeight="1" x14ac:dyDescent="0.45">
      <c r="A10" s="24" t="str">
        <f ca="1">TEXT(申請者情報!$D$4,"yyyymmdd")&amp;"_"&amp; TEXT(ROW() - ROW($A$5), "00") &amp;"_"&amp;$G10</f>
        <v>20220726_05_</v>
      </c>
      <c r="B10" s="64"/>
      <c r="C10" s="64"/>
      <c r="D10" s="64"/>
      <c r="E10" s="64"/>
      <c r="F10" s="64"/>
      <c r="G10" s="20"/>
      <c r="H10" s="20"/>
      <c r="I10" s="25"/>
      <c r="J10" s="25"/>
      <c r="K10" s="20"/>
      <c r="L10" s="20"/>
      <c r="M10" s="20"/>
      <c r="N10" s="20"/>
      <c r="O10" s="20"/>
      <c r="P10" s="20"/>
      <c r="Q10" s="20"/>
      <c r="R10" s="20"/>
      <c r="S10" s="20"/>
      <c r="T10" s="25"/>
      <c r="U10" s="20"/>
      <c r="V10" s="20"/>
      <c r="W10" s="20"/>
      <c r="X10" s="20"/>
      <c r="Y10" s="20"/>
      <c r="Z10" s="20"/>
      <c r="AA10" s="20"/>
      <c r="AB10" s="25"/>
      <c r="AC10" s="20"/>
      <c r="AD10" s="21"/>
      <c r="AE10" s="23"/>
    </row>
    <row r="11" spans="1:31" s="26" customFormat="1" ht="32.25" customHeight="1" x14ac:dyDescent="0.45">
      <c r="A11" s="24" t="str">
        <f ca="1">TEXT(申請者情報!$D$4,"yyyymmdd")&amp;"_"&amp; TEXT(ROW() - ROW($A$5), "00") &amp;"_"&amp;$G11</f>
        <v>20220726_06_</v>
      </c>
      <c r="B11" s="64"/>
      <c r="C11" s="64"/>
      <c r="D11" s="64"/>
      <c r="E11" s="64"/>
      <c r="F11" s="64"/>
      <c r="G11" s="20"/>
      <c r="H11" s="20"/>
      <c r="I11" s="25"/>
      <c r="J11" s="25"/>
      <c r="K11" s="20"/>
      <c r="L11" s="20"/>
      <c r="M11" s="20"/>
      <c r="N11" s="20"/>
      <c r="O11" s="20"/>
      <c r="P11" s="20"/>
      <c r="Q11" s="20"/>
      <c r="R11" s="20"/>
      <c r="S11" s="20"/>
      <c r="T11" s="25"/>
      <c r="U11" s="20"/>
      <c r="V11" s="20"/>
      <c r="W11" s="20"/>
      <c r="X11" s="20"/>
      <c r="Y11" s="20"/>
      <c r="Z11" s="20"/>
      <c r="AA11" s="20"/>
      <c r="AB11" s="25"/>
      <c r="AC11" s="20"/>
      <c r="AD11" s="21"/>
      <c r="AE11" s="23"/>
    </row>
    <row r="12" spans="1:31" s="26" customFormat="1" ht="32.25" customHeight="1" x14ac:dyDescent="0.45">
      <c r="A12" s="24" t="str">
        <f ca="1">TEXT(申請者情報!$D$4,"yyyymmdd")&amp;"_"&amp; TEXT(ROW() - ROW($A$5), "00") &amp;"_"&amp;$G12</f>
        <v>20220726_07_</v>
      </c>
      <c r="B12" s="64"/>
      <c r="C12" s="64"/>
      <c r="D12" s="64"/>
      <c r="E12" s="64"/>
      <c r="F12" s="64"/>
      <c r="G12" s="20"/>
      <c r="H12" s="20"/>
      <c r="I12" s="25"/>
      <c r="J12" s="25"/>
      <c r="K12" s="20"/>
      <c r="L12" s="20"/>
      <c r="M12" s="20"/>
      <c r="N12" s="20"/>
      <c r="O12" s="20"/>
      <c r="P12" s="20"/>
      <c r="Q12" s="20"/>
      <c r="R12" s="20"/>
      <c r="S12" s="20"/>
      <c r="T12" s="25"/>
      <c r="U12" s="20"/>
      <c r="V12" s="20"/>
      <c r="W12" s="20"/>
      <c r="X12" s="20"/>
      <c r="Y12" s="20"/>
      <c r="Z12" s="20"/>
      <c r="AA12" s="20"/>
      <c r="AB12" s="25"/>
      <c r="AC12" s="20"/>
      <c r="AD12" s="21"/>
      <c r="AE12" s="23"/>
    </row>
    <row r="13" spans="1:31" s="26" customFormat="1" ht="32.25" customHeight="1" x14ac:dyDescent="0.45">
      <c r="A13" s="24" t="str">
        <f ca="1">TEXT(申請者情報!$D$4,"yyyymmdd")&amp;"_"&amp; TEXT(ROW() - ROW($A$5), "00") &amp;"_"&amp;$G13</f>
        <v>20220726_08_</v>
      </c>
      <c r="B13" s="64"/>
      <c r="C13" s="64"/>
      <c r="D13" s="64"/>
      <c r="E13" s="64"/>
      <c r="F13" s="64"/>
      <c r="G13" s="20"/>
      <c r="H13" s="20"/>
      <c r="I13" s="25"/>
      <c r="J13" s="25"/>
      <c r="K13" s="20"/>
      <c r="L13" s="20"/>
      <c r="M13" s="20"/>
      <c r="N13" s="20"/>
      <c r="O13" s="20"/>
      <c r="P13" s="20"/>
      <c r="Q13" s="20"/>
      <c r="R13" s="20"/>
      <c r="S13" s="20"/>
      <c r="T13" s="25"/>
      <c r="U13" s="20"/>
      <c r="V13" s="20"/>
      <c r="W13" s="20"/>
      <c r="X13" s="20"/>
      <c r="Y13" s="20"/>
      <c r="Z13" s="20"/>
      <c r="AA13" s="20"/>
      <c r="AB13" s="25"/>
      <c r="AC13" s="20"/>
      <c r="AD13" s="21"/>
      <c r="AE13" s="23"/>
    </row>
    <row r="14" spans="1:31" s="26" customFormat="1" ht="32.25" customHeight="1" x14ac:dyDescent="0.45">
      <c r="A14" s="24" t="str">
        <f ca="1">TEXT(申請者情報!$D$4,"yyyymmdd")&amp;"_"&amp; TEXT(ROW() - ROW($A$5), "00") &amp;"_"&amp;$G14</f>
        <v>20220726_09_</v>
      </c>
      <c r="B14" s="64"/>
      <c r="C14" s="64"/>
      <c r="D14" s="64"/>
      <c r="E14" s="64"/>
      <c r="F14" s="64"/>
      <c r="G14" s="20"/>
      <c r="H14" s="20"/>
      <c r="I14" s="25"/>
      <c r="J14" s="25"/>
      <c r="K14" s="20"/>
      <c r="L14" s="20"/>
      <c r="M14" s="20"/>
      <c r="N14" s="20"/>
      <c r="O14" s="20"/>
      <c r="P14" s="20"/>
      <c r="Q14" s="20"/>
      <c r="R14" s="20"/>
      <c r="S14" s="20"/>
      <c r="T14" s="25"/>
      <c r="U14" s="20"/>
      <c r="V14" s="20"/>
      <c r="W14" s="20"/>
      <c r="X14" s="20"/>
      <c r="Y14" s="20"/>
      <c r="Z14" s="20"/>
      <c r="AA14" s="20"/>
      <c r="AB14" s="25"/>
      <c r="AC14" s="20"/>
      <c r="AD14" s="21"/>
      <c r="AE14" s="23"/>
    </row>
    <row r="15" spans="1:31" s="26" customFormat="1" ht="32.25" customHeight="1" x14ac:dyDescent="0.45">
      <c r="A15" s="24" t="str">
        <f ca="1">TEXT(申請者情報!$D$4,"yyyymmdd")&amp;"_"&amp; TEXT(ROW() - ROW($A$5), "00") &amp;"_"&amp;$G15</f>
        <v>20220726_10_</v>
      </c>
      <c r="B15" s="64"/>
      <c r="C15" s="64"/>
      <c r="D15" s="64"/>
      <c r="E15" s="64"/>
      <c r="F15" s="64"/>
      <c r="G15" s="20"/>
      <c r="H15" s="20"/>
      <c r="I15" s="25"/>
      <c r="J15" s="25"/>
      <c r="K15" s="20"/>
      <c r="L15" s="20"/>
      <c r="M15" s="20"/>
      <c r="N15" s="20"/>
      <c r="O15" s="20"/>
      <c r="P15" s="20"/>
      <c r="Q15" s="20"/>
      <c r="R15" s="20"/>
      <c r="S15" s="20"/>
      <c r="T15" s="25"/>
      <c r="U15" s="20"/>
      <c r="V15" s="20"/>
      <c r="W15" s="20"/>
      <c r="X15" s="20"/>
      <c r="Y15" s="20"/>
      <c r="Z15" s="20"/>
      <c r="AA15" s="20"/>
      <c r="AB15" s="25"/>
      <c r="AC15" s="20"/>
      <c r="AD15" s="21"/>
      <c r="AE15" s="23"/>
    </row>
    <row r="16" spans="1:31" x14ac:dyDescent="0.45">
      <c r="O16" s="26"/>
      <c r="P16" s="26"/>
    </row>
    <row r="17" spans="15:16" x14ac:dyDescent="0.45">
      <c r="O17" s="26"/>
      <c r="P17" s="26"/>
    </row>
  </sheetData>
  <phoneticPr fontId="6"/>
  <conditionalFormatting sqref="G6:G1000">
    <cfRule type="expression" dxfId="1" priority="6">
      <formula>AND($G6="", COUNTA($H6:$AC6)&gt;0)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D495-F142-4872-B276-84AFD6ED5F6A}">
  <sheetPr codeName="Sheet12"/>
  <dimension ref="A1:X17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9" defaultRowHeight="14.4" x14ac:dyDescent="0.45"/>
  <cols>
    <col min="1" max="1" width="14.3984375" style="19" customWidth="1"/>
    <col min="2" max="7" width="22.3984375" style="19" customWidth="1"/>
    <col min="8" max="22" width="27.3984375" style="19" customWidth="1"/>
    <col min="23" max="23" width="2.59765625" style="21" customWidth="1"/>
    <col min="24" max="24" width="27.3984375" style="21" customWidth="1"/>
    <col min="25" max="16384" width="9" style="19"/>
  </cols>
  <sheetData>
    <row r="1" spans="1:24" ht="24.6" x14ac:dyDescent="0.45">
      <c r="A1" s="43" t="s">
        <v>140</v>
      </c>
      <c r="B1" s="43"/>
      <c r="C1" s="45" t="s">
        <v>199</v>
      </c>
      <c r="D1" s="43"/>
      <c r="E1" s="43"/>
      <c r="F1" s="43"/>
      <c r="H1" s="45"/>
      <c r="W1" s="19"/>
    </row>
    <row r="3" spans="1:24" s="52" customFormat="1" ht="30" customHeight="1" x14ac:dyDescent="0.45">
      <c r="A3" s="65" t="s">
        <v>143</v>
      </c>
      <c r="B3" s="65" t="s">
        <v>188</v>
      </c>
      <c r="C3" s="65" t="s">
        <v>189</v>
      </c>
      <c r="D3" s="65" t="s">
        <v>190</v>
      </c>
      <c r="E3" s="65" t="s">
        <v>191</v>
      </c>
      <c r="F3" s="65" t="s">
        <v>233</v>
      </c>
      <c r="G3" s="65" t="s">
        <v>40</v>
      </c>
      <c r="H3" s="65" t="s">
        <v>95</v>
      </c>
      <c r="I3" s="65" t="s">
        <v>45</v>
      </c>
      <c r="J3" s="65" t="s">
        <v>124</v>
      </c>
      <c r="K3" s="65" t="s">
        <v>25</v>
      </c>
      <c r="L3" s="65" t="s">
        <v>26</v>
      </c>
      <c r="M3" s="65" t="s">
        <v>125</v>
      </c>
      <c r="N3" s="65" t="s">
        <v>126</v>
      </c>
      <c r="O3" s="65" t="s">
        <v>127</v>
      </c>
      <c r="P3" s="65" t="s">
        <v>16</v>
      </c>
      <c r="Q3" s="65" t="s">
        <v>214</v>
      </c>
      <c r="R3" s="65" t="s">
        <v>215</v>
      </c>
      <c r="S3" s="65" t="s">
        <v>216</v>
      </c>
      <c r="T3" s="65" t="s">
        <v>217</v>
      </c>
      <c r="U3" s="65" t="s">
        <v>236</v>
      </c>
      <c r="V3" s="65" t="s">
        <v>180</v>
      </c>
      <c r="W3" s="55"/>
      <c r="X3" s="56" t="s">
        <v>154</v>
      </c>
    </row>
    <row r="4" spans="1:24" ht="28.8" x14ac:dyDescent="0.45">
      <c r="A4" s="33" t="s">
        <v>141</v>
      </c>
      <c r="B4" s="33" t="s">
        <v>188</v>
      </c>
      <c r="C4" s="33" t="s">
        <v>189</v>
      </c>
      <c r="D4" s="33" t="s">
        <v>190</v>
      </c>
      <c r="E4" s="33" t="s">
        <v>191</v>
      </c>
      <c r="F4" s="33" t="s">
        <v>182</v>
      </c>
      <c r="G4" s="34" t="s">
        <v>8</v>
      </c>
      <c r="H4" s="34" t="s">
        <v>130</v>
      </c>
      <c r="I4" s="34" t="s">
        <v>131</v>
      </c>
      <c r="J4" s="34" t="s">
        <v>132</v>
      </c>
      <c r="K4" s="34" t="s">
        <v>138</v>
      </c>
      <c r="L4" s="34" t="s">
        <v>139</v>
      </c>
      <c r="M4" s="34" t="s">
        <v>135</v>
      </c>
      <c r="N4" s="34" t="s">
        <v>121</v>
      </c>
      <c r="O4" s="34" t="s">
        <v>136</v>
      </c>
      <c r="P4" s="34" t="s">
        <v>16</v>
      </c>
      <c r="Q4" s="34" t="s">
        <v>211</v>
      </c>
      <c r="R4" s="34" t="s">
        <v>212</v>
      </c>
      <c r="S4" s="34" t="s">
        <v>213</v>
      </c>
      <c r="T4" s="34" t="s">
        <v>231</v>
      </c>
      <c r="U4" s="34" t="s">
        <v>232</v>
      </c>
      <c r="V4" s="34" t="s">
        <v>22</v>
      </c>
      <c r="W4" s="19"/>
      <c r="X4" s="33" t="s">
        <v>155</v>
      </c>
    </row>
    <row r="5" spans="1:24" ht="129.6" x14ac:dyDescent="0.45">
      <c r="A5" s="33" t="s">
        <v>142</v>
      </c>
      <c r="B5" s="33"/>
      <c r="C5" s="33"/>
      <c r="D5" s="33"/>
      <c r="E5" s="33"/>
      <c r="F5" s="33"/>
      <c r="G5" s="34" t="s">
        <v>166</v>
      </c>
      <c r="H5" s="34"/>
      <c r="I5" s="34"/>
      <c r="J5" s="34" t="s">
        <v>271</v>
      </c>
      <c r="K5" s="38" t="s">
        <v>284</v>
      </c>
      <c r="L5" s="38" t="s">
        <v>285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19"/>
      <c r="X5" s="33" t="s">
        <v>156</v>
      </c>
    </row>
    <row r="6" spans="1:24" s="26" customFormat="1" ht="32.25" customHeight="1" x14ac:dyDescent="0.45">
      <c r="A6" s="24" t="str">
        <f ca="1">TEXT(申請者情報!$D$4,"yyyymmdd")&amp;"_"&amp; TEXT(ROW() - ROW($A$5), "00") &amp;"_"&amp;$G6</f>
        <v>20220726_01_</v>
      </c>
      <c r="B6" s="25"/>
      <c r="C6" s="25"/>
      <c r="D6" s="25"/>
      <c r="E6" s="25"/>
      <c r="F6" s="25"/>
      <c r="G6" s="20"/>
      <c r="H6" s="20"/>
      <c r="I6" s="20"/>
      <c r="J6" s="20"/>
      <c r="K6" s="20"/>
      <c r="L6" s="20"/>
      <c r="M6" s="20"/>
      <c r="N6" s="20"/>
      <c r="O6" s="20"/>
      <c r="P6" s="69"/>
      <c r="Q6" s="20"/>
      <c r="R6" s="20"/>
      <c r="S6" s="20"/>
      <c r="T6" s="20"/>
      <c r="U6" s="25"/>
      <c r="V6" s="20"/>
      <c r="W6" s="21"/>
      <c r="X6" s="23"/>
    </row>
    <row r="7" spans="1:24" s="26" customFormat="1" ht="32.25" customHeight="1" x14ac:dyDescent="0.45">
      <c r="A7" s="24" t="str">
        <f ca="1">TEXT(申請者情報!$D$4,"yyyymmdd")&amp;"_"&amp; TEXT(ROW() - ROW($A$5), "00") &amp;"_"&amp;$G7</f>
        <v>20220726_02_</v>
      </c>
      <c r="B7" s="25"/>
      <c r="C7" s="25"/>
      <c r="D7" s="25"/>
      <c r="E7" s="25"/>
      <c r="F7" s="25"/>
      <c r="G7" s="20"/>
      <c r="H7" s="20"/>
      <c r="I7" s="20"/>
      <c r="J7" s="20"/>
      <c r="K7" s="20"/>
      <c r="L7" s="20"/>
      <c r="M7" s="20"/>
      <c r="N7" s="20"/>
      <c r="O7" s="20"/>
      <c r="P7" s="69"/>
      <c r="Q7" s="20"/>
      <c r="R7" s="20"/>
      <c r="S7" s="20"/>
      <c r="T7" s="20"/>
      <c r="U7" s="25"/>
      <c r="V7" s="20"/>
      <c r="W7" s="21"/>
      <c r="X7" s="23"/>
    </row>
    <row r="8" spans="1:24" s="26" customFormat="1" ht="32.25" customHeight="1" x14ac:dyDescent="0.45">
      <c r="A8" s="24" t="str">
        <f ca="1">TEXT(申請者情報!$D$4,"yyyymmdd")&amp;"_"&amp; TEXT(ROW() - ROW($A$5), "00") &amp;"_"&amp;$G8</f>
        <v>20220726_03_</v>
      </c>
      <c r="B8" s="25"/>
      <c r="C8" s="25"/>
      <c r="D8" s="25"/>
      <c r="E8" s="25"/>
      <c r="F8" s="25"/>
      <c r="G8" s="20"/>
      <c r="H8" s="20"/>
      <c r="I8" s="20"/>
      <c r="J8" s="20"/>
      <c r="K8" s="20"/>
      <c r="L8" s="20"/>
      <c r="M8" s="20"/>
      <c r="N8" s="20"/>
      <c r="O8" s="20"/>
      <c r="P8" s="69"/>
      <c r="Q8" s="20"/>
      <c r="R8" s="20"/>
      <c r="S8" s="20"/>
      <c r="T8" s="20"/>
      <c r="U8" s="25"/>
      <c r="V8" s="20"/>
      <c r="W8" s="21"/>
      <c r="X8" s="23"/>
    </row>
    <row r="9" spans="1:24" s="26" customFormat="1" ht="32.25" customHeight="1" x14ac:dyDescent="0.45">
      <c r="A9" s="24" t="str">
        <f ca="1">TEXT(申請者情報!$D$4,"yyyymmdd")&amp;"_"&amp; TEXT(ROW() - ROW($A$5), "00") &amp;"_"&amp;$G9</f>
        <v>20220726_04_</v>
      </c>
      <c r="B9" s="25"/>
      <c r="C9" s="25"/>
      <c r="D9" s="25"/>
      <c r="E9" s="25"/>
      <c r="F9" s="25"/>
      <c r="G9" s="20"/>
      <c r="H9" s="20"/>
      <c r="I9" s="20"/>
      <c r="J9" s="20"/>
      <c r="K9" s="20"/>
      <c r="L9" s="20"/>
      <c r="M9" s="20"/>
      <c r="N9" s="20"/>
      <c r="O9" s="20"/>
      <c r="P9" s="69"/>
      <c r="Q9" s="20"/>
      <c r="R9" s="20"/>
      <c r="S9" s="20"/>
      <c r="T9" s="20"/>
      <c r="U9" s="25"/>
      <c r="V9" s="20"/>
      <c r="W9" s="21"/>
      <c r="X9" s="23"/>
    </row>
    <row r="10" spans="1:24" s="26" customFormat="1" ht="32.25" customHeight="1" x14ac:dyDescent="0.45">
      <c r="A10" s="24" t="str">
        <f ca="1">TEXT(申請者情報!$D$4,"yyyymmdd")&amp;"_"&amp; TEXT(ROW() - ROW($A$5), "00") &amp;"_"&amp;$G10</f>
        <v>20220726_05_</v>
      </c>
      <c r="B10" s="25"/>
      <c r="C10" s="25"/>
      <c r="D10" s="25"/>
      <c r="E10" s="25"/>
      <c r="F10" s="25"/>
      <c r="G10" s="20"/>
      <c r="H10" s="20"/>
      <c r="I10" s="20"/>
      <c r="J10" s="20"/>
      <c r="K10" s="20"/>
      <c r="L10" s="20"/>
      <c r="M10" s="20"/>
      <c r="N10" s="20"/>
      <c r="O10" s="20"/>
      <c r="P10" s="69"/>
      <c r="Q10" s="20"/>
      <c r="R10" s="20"/>
      <c r="S10" s="20"/>
      <c r="T10" s="20"/>
      <c r="U10" s="25"/>
      <c r="V10" s="20"/>
      <c r="W10" s="21"/>
      <c r="X10" s="23"/>
    </row>
    <row r="11" spans="1:24" s="26" customFormat="1" ht="32.25" customHeight="1" x14ac:dyDescent="0.45">
      <c r="A11" s="24" t="str">
        <f ca="1">TEXT(申請者情報!$D$4,"yyyymmdd")&amp;"_"&amp; TEXT(ROW() - ROW($A$5), "00") &amp;"_"&amp;$G11</f>
        <v>20220726_06_</v>
      </c>
      <c r="B11" s="25"/>
      <c r="C11" s="25"/>
      <c r="D11" s="25"/>
      <c r="E11" s="25"/>
      <c r="F11" s="25"/>
      <c r="G11" s="20"/>
      <c r="H11" s="20"/>
      <c r="I11" s="20"/>
      <c r="J11" s="20"/>
      <c r="K11" s="20"/>
      <c r="L11" s="20"/>
      <c r="M11" s="20"/>
      <c r="N11" s="20"/>
      <c r="O11" s="20"/>
      <c r="P11" s="69"/>
      <c r="Q11" s="20"/>
      <c r="R11" s="20"/>
      <c r="S11" s="20"/>
      <c r="T11" s="20"/>
      <c r="U11" s="25"/>
      <c r="V11" s="20"/>
      <c r="W11" s="21"/>
      <c r="X11" s="23"/>
    </row>
    <row r="12" spans="1:24" s="26" customFormat="1" ht="32.25" customHeight="1" x14ac:dyDescent="0.45">
      <c r="A12" s="24" t="str">
        <f ca="1">TEXT(申請者情報!$D$4,"yyyymmdd")&amp;"_"&amp; TEXT(ROW() - ROW($A$5), "00") &amp;"_"&amp;$G12</f>
        <v>20220726_07_</v>
      </c>
      <c r="B12" s="25"/>
      <c r="C12" s="25"/>
      <c r="D12" s="25"/>
      <c r="E12" s="25"/>
      <c r="F12" s="25"/>
      <c r="G12" s="20"/>
      <c r="H12" s="20"/>
      <c r="I12" s="20"/>
      <c r="J12" s="20"/>
      <c r="K12" s="20"/>
      <c r="L12" s="20"/>
      <c r="M12" s="20"/>
      <c r="N12" s="20"/>
      <c r="O12" s="20"/>
      <c r="P12" s="69"/>
      <c r="Q12" s="20"/>
      <c r="R12" s="20"/>
      <c r="S12" s="20"/>
      <c r="T12" s="20"/>
      <c r="U12" s="25"/>
      <c r="V12" s="20"/>
      <c r="W12" s="21"/>
      <c r="X12" s="23"/>
    </row>
    <row r="13" spans="1:24" s="26" customFormat="1" ht="32.25" customHeight="1" x14ac:dyDescent="0.45">
      <c r="A13" s="24" t="str">
        <f ca="1">TEXT(申請者情報!$D$4,"yyyymmdd")&amp;"_"&amp; TEXT(ROW() - ROW($A$5), "00") &amp;"_"&amp;$G13</f>
        <v>20220726_08_</v>
      </c>
      <c r="B13" s="25"/>
      <c r="C13" s="25"/>
      <c r="D13" s="25"/>
      <c r="E13" s="25"/>
      <c r="F13" s="25"/>
      <c r="G13" s="20"/>
      <c r="H13" s="20"/>
      <c r="I13" s="20"/>
      <c r="J13" s="20"/>
      <c r="K13" s="20"/>
      <c r="L13" s="20"/>
      <c r="M13" s="20"/>
      <c r="N13" s="20"/>
      <c r="O13" s="20"/>
      <c r="P13" s="69"/>
      <c r="Q13" s="20"/>
      <c r="R13" s="20"/>
      <c r="S13" s="20"/>
      <c r="T13" s="20"/>
      <c r="U13" s="25"/>
      <c r="V13" s="20"/>
      <c r="W13" s="21"/>
      <c r="X13" s="23"/>
    </row>
    <row r="14" spans="1:24" s="26" customFormat="1" ht="32.25" customHeight="1" x14ac:dyDescent="0.45">
      <c r="A14" s="24" t="str">
        <f ca="1">TEXT(申請者情報!$D$4,"yyyymmdd")&amp;"_"&amp; TEXT(ROW() - ROW($A$5), "00") &amp;"_"&amp;$G14</f>
        <v>20220726_09_</v>
      </c>
      <c r="B14" s="25"/>
      <c r="C14" s="25"/>
      <c r="D14" s="25"/>
      <c r="E14" s="25"/>
      <c r="F14" s="25"/>
      <c r="G14" s="20"/>
      <c r="H14" s="20"/>
      <c r="I14" s="20"/>
      <c r="J14" s="20"/>
      <c r="K14" s="20"/>
      <c r="L14" s="20"/>
      <c r="M14" s="20"/>
      <c r="N14" s="20"/>
      <c r="O14" s="20"/>
      <c r="P14" s="69"/>
      <c r="Q14" s="20"/>
      <c r="R14" s="20"/>
      <c r="S14" s="20"/>
      <c r="T14" s="20"/>
      <c r="U14" s="25"/>
      <c r="V14" s="20"/>
      <c r="W14" s="21"/>
      <c r="X14" s="23"/>
    </row>
    <row r="15" spans="1:24" s="26" customFormat="1" ht="32.25" customHeight="1" x14ac:dyDescent="0.45">
      <c r="A15" s="24" t="str">
        <f ca="1">TEXT(申請者情報!$D$4,"yyyymmdd")&amp;"_"&amp; TEXT(ROW() - ROW($A$5), "00") &amp;"_"&amp;$G15</f>
        <v>20220726_10_</v>
      </c>
      <c r="B15" s="25"/>
      <c r="C15" s="25"/>
      <c r="D15" s="25"/>
      <c r="E15" s="25"/>
      <c r="F15" s="25"/>
      <c r="G15" s="20"/>
      <c r="H15" s="20"/>
      <c r="I15" s="20"/>
      <c r="J15" s="20"/>
      <c r="K15" s="20"/>
      <c r="L15" s="20"/>
      <c r="M15" s="20"/>
      <c r="N15" s="20"/>
      <c r="O15" s="20"/>
      <c r="P15" s="69"/>
      <c r="Q15" s="20"/>
      <c r="R15" s="20"/>
      <c r="S15" s="20"/>
      <c r="T15" s="20"/>
      <c r="U15" s="25"/>
      <c r="V15" s="20"/>
      <c r="W15" s="21"/>
      <c r="X15" s="23"/>
    </row>
    <row r="16" spans="1:24" x14ac:dyDescent="0.45">
      <c r="L16" s="26"/>
      <c r="N16" s="26"/>
      <c r="O16" s="26"/>
      <c r="P16" s="26"/>
    </row>
    <row r="17" spans="12:16" x14ac:dyDescent="0.45">
      <c r="L17" s="26"/>
      <c r="N17" s="26"/>
      <c r="O17" s="26"/>
      <c r="P17" s="26"/>
    </row>
  </sheetData>
  <phoneticPr fontId="6"/>
  <conditionalFormatting sqref="G6:G1000">
    <cfRule type="expression" dxfId="0" priority="7">
      <formula>AND($G6="", COUNTA($H6:$V6)&gt;0)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54576977966E446A76C33169591F216" ma:contentTypeVersion="9" ma:contentTypeDescription="新しいドキュメントを作成します。" ma:contentTypeScope="" ma:versionID="281f284e9465ee833f7e38d5e8088cd2">
  <xsd:schema xmlns:xsd="http://www.w3.org/2001/XMLSchema" xmlns:xs="http://www.w3.org/2001/XMLSchema" xmlns:p="http://schemas.microsoft.com/office/2006/metadata/properties" xmlns:ns3="df1e96e8-a54b-4543-b394-266803396e4e" xmlns:ns4="bc070690-9d48-4785-9eda-5d22f003b334" targetNamespace="http://schemas.microsoft.com/office/2006/metadata/properties" ma:root="true" ma:fieldsID="93a59fde3fbc28f5891a19075c2c9697" ns3:_="" ns4:_="">
    <xsd:import namespace="df1e96e8-a54b-4543-b394-266803396e4e"/>
    <xsd:import namespace="bc070690-9d48-4785-9eda-5d22f003b3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e96e8-a54b-4543-b394-266803396e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070690-9d48-4785-9eda-5d22f003b33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FEC61D5-C449-4F32-AEE0-05B1A2F882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7513E8-FF5B-43A8-9886-1398D24B43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e96e8-a54b-4543-b394-266803396e4e"/>
    <ds:schemaRef ds:uri="bc070690-9d48-4785-9eda-5d22f003b3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33087C-BD4C-4C18-92FF-19792A6925CA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bc070690-9d48-4785-9eda-5d22f003b334"/>
    <ds:schemaRef ds:uri="http://schemas.openxmlformats.org/package/2006/metadata/core-properties"/>
    <ds:schemaRef ds:uri="df1e96e8-a54b-4543-b394-266803396e4e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申請者情報</vt:lpstr>
      <vt:lpstr>新規申請</vt:lpstr>
      <vt:lpstr>利用者変更</vt:lpstr>
      <vt:lpstr>再キッティング</vt:lpstr>
      <vt:lpstr>故障交換機手配</vt:lpstr>
      <vt:lpstr>紛失時再手配</vt:lpstr>
      <vt:lpstr>返却</vt:lpstr>
      <vt:lpstr>解約</vt:lpstr>
      <vt:lpstr>通信量変更</vt:lpstr>
      <vt:lpstr>改番</vt:lpstr>
      <vt:lpstr>機種変更</vt:lpstr>
      <vt:lpstr>MNP</vt:lpstr>
      <vt:lpstr>MNP予約番号</vt:lpstr>
      <vt:lpstr>申請種別の範囲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localadmin</dc:creator>
  <cp:lastModifiedBy>松本 健汰</cp:lastModifiedBy>
  <dcterms:created xsi:type="dcterms:W3CDTF">2022-03-07T02:50:36Z</dcterms:created>
  <dcterms:modified xsi:type="dcterms:W3CDTF">2022-07-26T01:56:51Z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0x010100D54576977966E446A76C33169591F216</vt:lpwstr>
  </property>
</Properties>
</file>